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BuÇalismaKitabi"/>
  <bookViews>
    <workbookView visibility="visible" minimized="0" showHorizontalScroll="1" showVerticalScroll="1" showSheetTabs="1" xWindow="-105" yWindow="-105" windowWidth="21465" windowHeight="11445" tabRatio="600" firstSheet="21" activeTab="21" autoFilterDateGrouping="1"/>
  </bookViews>
  <sheets>
    <sheet name="Hiyerarsi_Indeks" sheetId="1" state="visible" r:id="rId1"/>
    <sheet name="Kullanim_Notu" sheetId="2" state="visible" r:id="rId2"/>
    <sheet name="ESG_FO_Makale" sheetId="3" state="visible" r:id="rId3"/>
    <sheet name="ESG_FO_AnaBlok" sheetId="4" state="visible" r:id="rId4"/>
    <sheet name="E_AltGruplar" sheetId="5" state="visible" r:id="rId5"/>
    <sheet name="E_EnerjiEmis" sheetId="6" state="visible" r:id="rId6"/>
    <sheet name="E_SuYonetim" sheetId="7" state="visible" r:id="rId7"/>
    <sheet name="E_BiyoToprak" sheetId="8" state="visible" r:id="rId8"/>
    <sheet name="E_AtikKimya" sheetId="9" state="visible" r:id="rId9"/>
    <sheet name="S_AltGruplar" sheetId="10" state="visible" r:id="rId10"/>
    <sheet name="S_IsgucuIst" sheetId="11" state="visible" r:id="rId11"/>
    <sheet name="S_CalismaKos" sheetId="12" state="visible" r:id="rId12"/>
    <sheet name="S_ToplumKor" sheetId="13" state="visible" r:id="rId13"/>
    <sheet name="G_AltGruplar" sheetId="14" state="visible" r:id="rId14"/>
    <sheet name="G_UyumPolit" sheetId="15" state="visible" r:id="rId15"/>
    <sheet name="G_TedarikRisk" sheetId="16" state="visible" r:id="rId16"/>
    <sheet name="FO_AltGruplar" sheetId="17" state="visible" r:id="rId17"/>
    <sheet name="FO_Finansal" sheetId="18" state="visible" r:id="rId18"/>
    <sheet name="FO_Operasyonel" sheetId="19" state="visible" r:id="rId19"/>
    <sheet name="FO_Hayvancilik" sheetId="20" state="visible" r:id="rId20"/>
    <sheet name="FO_BitkiselU" sheetId="21" state="visible" r:id="rId21"/>
    <sheet name="AHP ve BSS" sheetId="22" state="visible" r:id="rId22"/>
    <sheet name="Senaryolar ve Skorlar" sheetId="23" state="visible" r:id="rId23"/>
    <sheet name="YORUM" sheetId="24" state="visible" r:id="rId24"/>
  </sheets>
  <definedNames>
    <definedName name="AHPAlternativeNames" localSheetId="2">Tablo2[Alternative names]</definedName>
    <definedName name="AHPCriteriaNames" localSheetId="2">Tablo2[Criteria names]</definedName>
    <definedName name="BWNames" localSheetId="2">Tablo19[Attribute names]</definedName>
    <definedName name="FPCAlternativeNames" localSheetId="2">Tablo213[Alternative names]</definedName>
    <definedName name="GridAlternativeNames" localSheetId="2">Tablo215[Alternative names]</definedName>
    <definedName name="GridCriteriaNames" localSheetId="2">Tablo215[Criteria names]</definedName>
    <definedName name="Names_of_Categories" localSheetId="2">FPCPage!#REF!</definedName>
    <definedName name="Names_of_FPCCategories" localSheetId="2">Tablo213[Category names]</definedName>
    <definedName name="AHPAlternativeNames" localSheetId="9">[1]!Tablo2[Alternative names]</definedName>
    <definedName name="AHPAlternativeNamesD" localSheetId="9">[1]Depot!$K$3:$K$12</definedName>
    <definedName name="AHPCategoryNames" localSheetId="9">[1]AHPPage!$H$6:$H$10</definedName>
    <definedName name="AHPCriteriaNames" localSheetId="9">[1]!Tablo2[Criteria names]</definedName>
    <definedName name="AHPCriteriaNamesD" localSheetId="9">[1]Depot!$J$3:$J$12</definedName>
    <definedName name="AHPMaxs" localSheetId="9">[1]AHPOutput!$B$3004:$SG$3004</definedName>
    <definedName name="AHPMeans" localSheetId="9">[1]AHPOutput!$B$3002:$SG$3002</definedName>
    <definedName name="AHPMedians" localSheetId="9">[1]AHPOutput!$B$3006:$SG$3006</definedName>
    <definedName name="AHPMins" localSheetId="9">[1]AHPOutput!$B$3003:$SG$3003</definedName>
    <definedName name="AHPStDevs" localSheetId="9">[1]AHPOutput!$B$3005:$SG$3005</definedName>
    <definedName name="BWNames" localSheetId="9">[1]!Tablo19[Attribute names]</definedName>
    <definedName name="Category_numbers" localSheetId="9">[1]Depot!$L$22:$L$31</definedName>
    <definedName name="FPCAlternativeNames" localSheetId="9">[1]!Tablo213[Alternative names]</definedName>
    <definedName name="FPCAlternativeNamesD" localSheetId="9">[1]Depot!$H$3:$H$12</definedName>
    <definedName name="FPCCategoryNames" localSheetId="9">[1]FPCPage!$H$5:$H$12</definedName>
    <definedName name="FPCCategoryNamesD" localSheetId="9">[1]Depot!$I$3:$I$7</definedName>
    <definedName name="FPCData" localSheetId="9">[1]FPCData!$A$2:$AS$2002</definedName>
    <definedName name="FPCMaxs" localSheetId="9">[1]FPCOutput!$B$3004:$SB$3004</definedName>
    <definedName name="FPCMeans" localSheetId="9">[1]FPCOutput!$B$3002:$SB$3002</definedName>
    <definedName name="FPCMedians" localSheetId="9">[1]FPCOutput!$B$3006:$SB$3006</definedName>
    <definedName name="FPCMins" localSheetId="9">[1]FPCOutput!$B$3003:$SB$3003</definedName>
    <definedName name="FPCSecsay" localSheetId="9">[1]FPCPage!$C$5</definedName>
    <definedName name="FPCStDevs" localSheetId="9">[1]FPCOutput!$B$3005:$SB$3005</definedName>
    <definedName name="GridAlternativeNames" localSheetId="9">[1]!Tablo215[Alternative names]</definedName>
    <definedName name="GridAlternativeNamesD" localSheetId="9">[1]Depot!$N$3:$N$12</definedName>
    <definedName name="GridCategoryNames" localSheetId="9">[1]GridPage!$I$5:$I$6</definedName>
    <definedName name="GridCategoryNamesD" localSheetId="9">[1]Depot!$O$3:$O$7</definedName>
    <definedName name="GridCriteriaNames" localSheetId="9">[1]!Tablo215[Criteria names]</definedName>
    <definedName name="GridCriteriaNamesD" localSheetId="9">[1]Depot!$M$3:$M$12</definedName>
    <definedName name="GridData" localSheetId="9">[1]GridData!$A$2:$DF$2001</definedName>
    <definedName name="GridKrSay" localSheetId="9">[1]GridPage!$C$5</definedName>
    <definedName name="GridMaxs" localSheetId="9">[1]GridOutput!$B$3004:$SH$3004</definedName>
    <definedName name="GridMeans" localSheetId="9">[1]GridOutput!$B$3002:$SH$3002</definedName>
    <definedName name="GridMedians" localSheetId="9">[1]GridOutput!$B$3006:$SH$3006</definedName>
    <definedName name="GridMins" localSheetId="9">[1]GridOutput!$B$3003:$SH$3003</definedName>
    <definedName name="GridSecSay" localSheetId="9">[1]GridPage!$C$6</definedName>
    <definedName name="GridStDevs" localSheetId="9">[1]GridOutput!$B$3005:$SH$3005</definedName>
    <definedName name="Names_of_AHPcategoriesD" localSheetId="9">[1]Depot!$L$3:$L$12</definedName>
    <definedName name="Names_of_BWcategories" localSheetId="9">[1]MaxDiffPage!$G$5:$G$34</definedName>
    <definedName name="Names_of_Categories" localSheetId="9">[1]FPCPage!#REF!</definedName>
    <definedName name="Names_of_FPCCategories" localSheetId="9">[1]!Tablo213[Category names]</definedName>
    <definedName name="secsay10" localSheetId="9">[1]GridOutput!$JR$2</definedName>
    <definedName name="secsay3" localSheetId="9">[1]GridOutput!$GL$2</definedName>
    <definedName name="secsay4" localSheetId="9">[1]GridOutput!$GX$2</definedName>
    <definedName name="secsay5" localSheetId="9">[1]GridOutput!$HJ$2</definedName>
    <definedName name="secsay6" localSheetId="9">[1]GridOutput!$HV$2</definedName>
    <definedName name="secsay7" localSheetId="9">[1]GridOutput!$IH$2</definedName>
    <definedName name="secsay8" localSheetId="9">[1]GridOutput!$IT$2</definedName>
    <definedName name="secsay9" localSheetId="9">[1]GridOutput!$JF$2</definedName>
    <definedName name="AHPAlternativeNames" localSheetId="14">[1]!Tablo2[Alternative names]</definedName>
    <definedName name="AHPAlternativeNamesD" localSheetId="14">[1]Depot!$K$3:$K$12</definedName>
    <definedName name="AHPCategoryNames" localSheetId="14">[1]AHPPage!$H$6:$H$10</definedName>
    <definedName name="AHPCriteriaNames" localSheetId="14">[1]!Tablo2[Criteria names]</definedName>
    <definedName name="AHPCriteriaNamesD" localSheetId="14">[1]Depot!$J$3:$J$12</definedName>
    <definedName name="AHPMaxs" localSheetId="14">[1]AHPOutput!$B$3004:$SG$3004</definedName>
    <definedName name="AHPMeans" localSheetId="14">[1]AHPOutput!$B$3002:$SG$3002</definedName>
    <definedName name="AHPMedians" localSheetId="14">[1]AHPOutput!$B$3006:$SG$3006</definedName>
    <definedName name="AHPMins" localSheetId="14">[1]AHPOutput!$B$3003:$SG$3003</definedName>
    <definedName name="AHPStDevs" localSheetId="14">[1]AHPOutput!$B$3005:$SG$3005</definedName>
    <definedName name="BWNames" localSheetId="14">[1]!Tablo19[Attribute names]</definedName>
    <definedName name="Category_numbers" localSheetId="14">[1]Depot!$L$22:$L$31</definedName>
    <definedName name="FPCAlternativeNames" localSheetId="14">[1]!Tablo213[Alternative names]</definedName>
    <definedName name="FPCAlternativeNamesD" localSheetId="14">[1]Depot!$H$3:$H$12</definedName>
    <definedName name="FPCCategoryNames" localSheetId="14">[1]FPCPage!$H$5:$H$12</definedName>
    <definedName name="FPCCategoryNamesD" localSheetId="14">[1]Depot!$I$3:$I$7</definedName>
    <definedName name="FPCData" localSheetId="14">[1]FPCData!$A$2:$AS$2002</definedName>
    <definedName name="FPCMaxs" localSheetId="14">[1]FPCOutput!$B$3004:$SB$3004</definedName>
    <definedName name="FPCMeans" localSheetId="14">[1]FPCOutput!$B$3002:$SB$3002</definedName>
    <definedName name="FPCMedians" localSheetId="14">[1]FPCOutput!$B$3006:$SB$3006</definedName>
    <definedName name="FPCMins" localSheetId="14">[1]FPCOutput!$B$3003:$SB$3003</definedName>
    <definedName name="FPCSecsay" localSheetId="14">[1]FPCPage!$C$5</definedName>
    <definedName name="FPCStDevs" localSheetId="14">[1]FPCOutput!$B$3005:$SB$3005</definedName>
    <definedName name="GridAlternativeNames" localSheetId="14">[1]!Tablo215[Alternative names]</definedName>
    <definedName name="GridAlternativeNamesD" localSheetId="14">[1]Depot!$N$3:$N$12</definedName>
    <definedName name="GridCategoryNames" localSheetId="14">[1]GridPage!$I$5:$I$6</definedName>
    <definedName name="GridCategoryNamesD" localSheetId="14">[1]Depot!$O$3:$O$7</definedName>
    <definedName name="GridCriteriaNames" localSheetId="14">[1]!Tablo215[Criteria names]</definedName>
    <definedName name="GridCriteriaNamesD" localSheetId="14">[1]Depot!$M$3:$M$12</definedName>
    <definedName name="GridData" localSheetId="14">[1]GridData!$A$2:$DF$2001</definedName>
    <definedName name="GridKrSay" localSheetId="14">[1]GridPage!$C$5</definedName>
    <definedName name="GridMaxs" localSheetId="14">[1]GridOutput!$B$3004:$SH$3004</definedName>
    <definedName name="GridMeans" localSheetId="14">[1]GridOutput!$B$3002:$SH$3002</definedName>
    <definedName name="GridMedians" localSheetId="14">[1]GridOutput!$B$3006:$SH$3006</definedName>
    <definedName name="GridMins" localSheetId="14">[1]GridOutput!$B$3003:$SH$3003</definedName>
    <definedName name="GridSecSay" localSheetId="14">[1]GridPage!$C$6</definedName>
    <definedName name="GridStDevs" localSheetId="14">[1]GridOutput!$B$3005:$SH$3005</definedName>
    <definedName name="Names_of_AHPcategoriesD" localSheetId="14">[1]Depot!$L$3:$L$12</definedName>
    <definedName name="Names_of_BWcategories" localSheetId="14">[1]MaxDiffPage!$G$5:$G$34</definedName>
    <definedName name="Names_of_Categories" localSheetId="14">[1]FPCPage!#REF!</definedName>
    <definedName name="Names_of_FPCCategories" localSheetId="14">[1]!Tablo213[Category names]</definedName>
    <definedName name="secsay10" localSheetId="14">[1]GridOutput!$JR$2</definedName>
    <definedName name="secsay3" localSheetId="14">[1]GridOutput!$GL$2</definedName>
    <definedName name="secsay4" localSheetId="14">[1]GridOutput!$GX$2</definedName>
    <definedName name="secsay5" localSheetId="14">[1]GridOutput!$HJ$2</definedName>
    <definedName name="secsay6" localSheetId="14">[1]GridOutput!$HV$2</definedName>
    <definedName name="secsay7" localSheetId="14">[1]GridOutput!$IH$2</definedName>
    <definedName name="secsay8" localSheetId="14">[1]GridOutput!$IT$2</definedName>
    <definedName name="secsay9" localSheetId="14">[1]GridOutput!$JF$2</definedName>
  </definedNames>
  <calcPr calcId="162913" fullCalcOnLoad="1"/>
</workbook>
</file>

<file path=xl/styles.xml><?xml version="1.0" encoding="utf-8"?>
<styleSheet xmlns="http://schemas.openxmlformats.org/spreadsheetml/2006/main">
  <numFmts count="5">
    <numFmt numFmtId="164" formatCode="0.000"/>
    <numFmt numFmtId="165" formatCode="0.0000"/>
    <numFmt numFmtId="166" formatCode="_-* #,##0.0\ _₺_-;\-* #,##0.0\ _₺_-;_-* &quot;-&quot;??\ _₺_-;_-@_-"/>
    <numFmt numFmtId="167" formatCode="0.0"/>
    <numFmt numFmtId="168" formatCode="_-* #,##0.00\ _₺_-;\-* #,##0.00\ _₺_-;_-* &quot;-&quot;??\ _₺_-;_-@_-"/>
  </numFmts>
  <fonts count="79">
    <font>
      <name val="Calibri"/>
      <charset val="162"/>
      <family val="2"/>
      <color theme="1"/>
      <sz val="11"/>
      <scheme val="minor"/>
    </font>
    <font>
      <name val="Calibri"/>
      <charset val="162"/>
      <family val="2"/>
      <color rgb="FF3F3F76"/>
      <sz val="11"/>
      <scheme val="minor"/>
    </font>
    <font>
      <name val="Calibri"/>
      <charset val="162"/>
      <family val="2"/>
      <b val="1"/>
      <color rgb="FF3F3F3F"/>
      <sz val="11"/>
      <scheme val="minor"/>
    </font>
    <font>
      <name val="Broadway"/>
      <family val="5"/>
      <b val="1"/>
      <color rgb="FF002060"/>
      <sz val="22"/>
    </font>
    <font>
      <name val="Calibri"/>
      <family val="2"/>
      <b val="1"/>
      <color theme="3"/>
      <sz val="11"/>
      <scheme val="minor"/>
    </font>
    <font>
      <name val="Calibri"/>
      <charset val="162"/>
      <family val="2"/>
      <color theme="0"/>
      <sz val="11"/>
      <scheme val="minor"/>
    </font>
    <font>
      <name val="Calibri"/>
      <charset val="162"/>
      <family val="2"/>
      <b val="1"/>
      <color theme="0"/>
      <sz val="11"/>
      <scheme val="minor"/>
    </font>
    <font>
      <name val="Calibri"/>
      <charset val="162"/>
      <family val="2"/>
      <color rgb="FFFF0000"/>
      <sz val="11"/>
      <scheme val="minor"/>
    </font>
    <font>
      <name val="Calibri"/>
      <family val="2"/>
      <color rgb="FF9C6500"/>
      <sz val="11"/>
      <scheme val="minor"/>
    </font>
    <font>
      <name val="Calibri"/>
      <family val="2"/>
      <color theme="0"/>
      <sz val="11"/>
      <scheme val="minor"/>
    </font>
    <font>
      <name val="Calibri"/>
      <charset val="162"/>
      <family val="2"/>
      <b val="1"/>
      <color theme="3"/>
      <sz val="15"/>
      <scheme val="minor"/>
    </font>
    <font>
      <name val="Calibri"/>
      <charset val="162"/>
      <family val="2"/>
      <color theme="1"/>
      <sz val="12"/>
      <scheme val="minor"/>
    </font>
    <font>
      <name val="Calibri"/>
      <charset val="162"/>
      <family val="2"/>
      <b val="1"/>
      <color theme="3"/>
      <sz val="12"/>
      <scheme val="minor"/>
    </font>
    <font>
      <name val="Calibri"/>
      <charset val="162"/>
      <family val="2"/>
      <b val="1"/>
      <color theme="0"/>
      <sz val="12"/>
      <scheme val="minor"/>
    </font>
    <font>
      <name val="Calibri"/>
      <charset val="162"/>
      <family val="2"/>
      <b val="1"/>
      <color rgb="FFFFFF00"/>
      <sz val="12"/>
      <scheme val="minor"/>
    </font>
    <font>
      <name val="Calibri"/>
      <charset val="162"/>
      <family val="2"/>
      <color rgb="FF002060"/>
      <sz val="12"/>
      <scheme val="minor"/>
    </font>
    <font>
      <name val="Calibri"/>
      <charset val="162"/>
      <family val="2"/>
      <b val="1"/>
      <color theme="1"/>
      <sz val="11"/>
      <scheme val="minor"/>
    </font>
    <font>
      <name val="Broadway"/>
      <family val="5"/>
      <b val="1"/>
      <color rgb="FFFF0000"/>
      <sz val="22"/>
    </font>
    <font>
      <name val="Calibri"/>
      <charset val="162"/>
      <family val="2"/>
      <color theme="1"/>
      <sz val="11"/>
      <scheme val="minor"/>
    </font>
    <font>
      <name val="Calibri"/>
      <charset val="162"/>
      <family val="2"/>
      <color theme="0"/>
      <sz val="12"/>
      <scheme val="minor"/>
    </font>
    <font>
      <name val="Calibri"/>
      <charset val="162"/>
      <family val="2"/>
      <sz val="12"/>
      <scheme val="minor"/>
    </font>
    <font>
      <name val="Calibri"/>
      <charset val="162"/>
      <family val="2"/>
      <b val="1"/>
      <color theme="1"/>
      <sz val="12"/>
      <scheme val="minor"/>
    </font>
    <font>
      <name val="Calibri"/>
      <charset val="162"/>
      <family val="2"/>
      <color rgb="FFFF0000"/>
      <sz val="12"/>
      <scheme val="minor"/>
    </font>
    <font>
      <name val="Calibri"/>
      <charset val="162"/>
      <family val="2"/>
      <b val="1"/>
      <color theme="0"/>
      <sz val="10"/>
      <scheme val="minor"/>
    </font>
    <font>
      <name val="Calibri"/>
      <charset val="162"/>
      <family val="2"/>
      <color rgb="FFFFFF00"/>
      <sz val="12"/>
      <scheme val="minor"/>
    </font>
    <font>
      <name val="Calibri"/>
      <charset val="162"/>
      <family val="2"/>
      <color theme="0"/>
      <sz val="10"/>
      <scheme val="minor"/>
    </font>
    <font>
      <name val="Broadway"/>
      <family val="5"/>
      <color rgb="FFFFFF00"/>
      <sz val="20"/>
    </font>
    <font>
      <name val="Calibri"/>
      <charset val="162"/>
      <family val="2"/>
      <color rgb="FF9C6500"/>
      <sz val="11"/>
      <scheme val="minor"/>
    </font>
    <font>
      <name val="Calibri"/>
      <charset val="162"/>
      <family val="2"/>
      <color rgb="FF3F3F76"/>
      <sz val="12"/>
      <scheme val="minor"/>
    </font>
    <font>
      <name val="Calibri"/>
      <charset val="162"/>
      <family val="2"/>
      <color rgb="FFC00000"/>
      <sz val="12"/>
      <scheme val="minor"/>
    </font>
    <font>
      <name val="Calibri"/>
      <family val="2"/>
      <b val="1"/>
      <color rgb="FFFFFF00"/>
      <sz val="12"/>
      <scheme val="minor"/>
    </font>
    <font>
      <name val="Calibri"/>
      <family val="2"/>
      <b val="1"/>
      <color rgb="FFFF0000"/>
      <sz val="12"/>
      <scheme val="minor"/>
    </font>
    <font>
      <name val="Calibri"/>
      <charset val="162"/>
      <family val="2"/>
      <sz val="11"/>
      <scheme val="minor"/>
    </font>
    <font>
      <name val="Calibri"/>
      <charset val="162"/>
      <family val="2"/>
      <color theme="1"/>
      <sz val="10"/>
      <scheme val="minor"/>
    </font>
    <font>
      <name val="Calibri"/>
      <charset val="162"/>
      <family val="2"/>
      <b val="1"/>
      <color rgb="FFFFFF00"/>
      <sz val="10"/>
      <scheme val="minor"/>
    </font>
    <font>
      <name val="Calibri"/>
      <charset val="162"/>
      <family val="2"/>
      <b val="1"/>
      <color rgb="FFFF0000"/>
      <sz val="12"/>
      <scheme val="minor"/>
    </font>
    <font>
      <name val="Calibri"/>
      <charset val="162"/>
      <family val="2"/>
      <b val="1"/>
      <color rgb="FF002060"/>
      <sz val="10"/>
      <scheme val="minor"/>
    </font>
    <font>
      <name val="Calibri"/>
      <charset val="162"/>
      <family val="2"/>
      <b val="1"/>
      <color rgb="FF3F3F3F"/>
      <sz val="10"/>
      <scheme val="minor"/>
    </font>
    <font>
      <name val="Calibri"/>
      <charset val="162"/>
      <family val="2"/>
      <color rgb="FF002060"/>
      <sz val="10"/>
      <scheme val="minor"/>
    </font>
    <font>
      <name val="Broadway"/>
      <family val="5"/>
      <color rgb="FFFFFF00"/>
      <sz val="12"/>
    </font>
    <font>
      <name val="Calibri"/>
      <charset val="162"/>
      <family val="2"/>
      <b val="1"/>
      <color rgb="FFFF0000"/>
      <sz val="12"/>
      <u val="single"/>
      <scheme val="minor"/>
    </font>
    <font>
      <name val="Broadway"/>
      <family val="5"/>
      <color rgb="FFFFFF00"/>
      <sz val="18"/>
    </font>
    <font>
      <name val="Forte"/>
      <family val="4"/>
      <color theme="1"/>
      <sz val="22"/>
    </font>
    <font>
      <name val="Calibri"/>
      <charset val="162"/>
      <family val="2"/>
      <b val="1"/>
      <color rgb="FF0070C0"/>
      <sz val="12"/>
      <scheme val="minor"/>
    </font>
    <font>
      <name val="Calibri"/>
      <charset val="162"/>
      <family val="2"/>
      <b val="1"/>
      <color rgb="FFFF0000"/>
      <sz val="10"/>
      <scheme val="minor"/>
    </font>
    <font>
      <name val="Calibri"/>
      <charset val="162"/>
      <family val="2"/>
      <color theme="3"/>
      <sz val="12"/>
      <scheme val="minor"/>
    </font>
    <font>
      <name val="Calibri"/>
      <charset val="162"/>
      <family val="2"/>
      <b val="1"/>
      <color theme="0"/>
      <sz val="14"/>
      <scheme val="minor"/>
    </font>
    <font>
      <name val="Calibri"/>
      <charset val="162"/>
      <family val="2"/>
      <color theme="0"/>
      <sz val="9"/>
      <scheme val="minor"/>
    </font>
    <font>
      <name val="Calibri"/>
      <charset val="162"/>
      <family val="2"/>
      <color theme="1"/>
      <sz val="9"/>
      <scheme val="minor"/>
    </font>
    <font>
      <name val="Calibri"/>
      <charset val="162"/>
      <family val="2"/>
      <color theme="3" tint="0.3999755851924192"/>
      <sz val="12"/>
      <scheme val="minor"/>
    </font>
    <font>
      <name val="Calibri"/>
      <charset val="162"/>
      <family val="2"/>
      <color rgb="FF000000"/>
      <sz val="11"/>
      <scheme val="minor"/>
    </font>
    <font>
      <name val="Calibri"/>
      <family val="2"/>
      <color theme="1"/>
      <sz val="11"/>
      <scheme val="minor"/>
    </font>
    <font>
      <name val="Calibri"/>
      <family val="2"/>
      <color theme="1"/>
      <sz val="12"/>
      <scheme val="minor"/>
    </font>
    <font>
      <name val="Calibri"/>
      <charset val="162"/>
      <family val="2"/>
      <color rgb="FF000000"/>
      <sz val="12"/>
      <scheme val="minor"/>
    </font>
    <font>
      <name val="Calibri"/>
      <charset val="162"/>
      <family val="2"/>
      <b val="1"/>
      <color rgb="FFFF0000"/>
      <sz val="16"/>
      <scheme val="minor"/>
    </font>
    <font>
      <name val="Arial"/>
      <family val="2"/>
      <color indexed="8"/>
      <sz val="10"/>
    </font>
    <font>
      <name val="Arial"/>
      <family val="2"/>
      <b val="1"/>
      <color indexed="8"/>
      <sz val="10"/>
    </font>
    <font>
      <name val="Arial"/>
      <family val="2"/>
      <b val="1"/>
      <i val="1"/>
      <color indexed="8"/>
      <sz val="10"/>
    </font>
    <font>
      <name val="Calibri"/>
      <charset val="162"/>
      <family val="2"/>
      <color rgb="FFFFFF00"/>
      <sz val="11"/>
      <scheme val="minor"/>
    </font>
    <font>
      <name val="Arial Narrow"/>
      <charset val="162"/>
      <family val="2"/>
      <color theme="1"/>
      <sz val="10"/>
    </font>
    <font>
      <name val="Calibri"/>
      <b val="1"/>
      <color rgb="FFFFFFFF"/>
      <sz val="15"/>
    </font>
    <font>
      <name val="Calibri"/>
      <b val="1"/>
      <color rgb="FF1F4E78"/>
      <sz val="11"/>
    </font>
    <font>
      <name val="Calibri"/>
      <b val="1"/>
      <color rgb="FFFFFFFF"/>
      <sz val="11"/>
    </font>
    <font>
      <name val="Calibri"/>
      <b val="1"/>
      <sz val="11"/>
    </font>
    <font>
      <name val="Calibri"/>
      <b val="1"/>
      <color rgb="FFFFFFFF"/>
      <sz val="14"/>
    </font>
    <font>
      <name val="Calibri"/>
      <charset val="162"/>
      <family val="2"/>
      <b val="1"/>
      <color rgb="FFFF0000"/>
      <sz val="11"/>
      <scheme val="minor"/>
    </font>
    <font>
      <name val="Calibri"/>
      <charset val="162"/>
      <family val="2"/>
      <b val="1"/>
      <color rgb="FFFFFFFF"/>
      <sz val="14"/>
    </font>
    <font>
      <name val="Calibri"/>
      <charset val="162"/>
      <family val="2"/>
      <b val="1"/>
      <color rgb="FF1F4E78"/>
      <sz val="11"/>
    </font>
    <font>
      <name val="Calibri"/>
      <charset val="162"/>
      <family val="2"/>
      <b val="1"/>
      <color rgb="FFFFFFFF"/>
      <sz val="11"/>
    </font>
    <font>
      <name val="Calibri"/>
      <charset val="162"/>
      <family val="2"/>
      <b val="1"/>
      <sz val="11"/>
    </font>
    <font>
      <name val="Calibri"/>
      <charset val="162"/>
      <family val="2"/>
      <color rgb="FF000000"/>
      <sz val="10"/>
      <scheme val="minor"/>
    </font>
    <font>
      <name val="Calibri"/>
      <charset val="162"/>
      <family val="2"/>
      <b val="1"/>
      <color rgb="FF008080"/>
      <sz val="11"/>
    </font>
    <font>
      <name val="Calibri"/>
      <charset val="162"/>
      <family val="2"/>
      <b val="1"/>
      <color rgb="FF0000FF"/>
      <sz val="11"/>
    </font>
    <font>
      <name val="Calibri"/>
      <charset val="162"/>
      <family val="2"/>
      <b val="1"/>
      <color rgb="FFFF0000"/>
      <sz val="11"/>
    </font>
    <font>
      <name val="Calibri"/>
      <charset val="162"/>
      <family val="2"/>
      <b val="1"/>
      <color rgb="FF993366"/>
      <sz val="11"/>
    </font>
    <font>
      <name val="Calibri"/>
      <charset val="162"/>
      <family val="2"/>
      <color rgb="FF000000"/>
      <sz val="11"/>
    </font>
    <font>
      <name val="Calibri"/>
      <charset val="162"/>
      <family val="2"/>
      <color rgb="FF92D050"/>
      <sz val="11"/>
      <scheme val="minor"/>
    </font>
    <font>
      <name val="Calibri"/>
      <charset val="162"/>
      <family val="2"/>
      <color rgb="FFFFC000"/>
      <sz val="11"/>
      <scheme val="minor"/>
    </font>
    <font>
      <name val="Calibri"/>
      <charset val="162"/>
      <family val="2"/>
      <color rgb="FF00B0F0"/>
      <sz val="11"/>
      <scheme val="minor"/>
    </font>
  </fonts>
  <fills count="48">
    <fill>
      <patternFill/>
    </fill>
    <fill>
      <patternFill patternType="gray125"/>
    </fill>
    <fill>
      <patternFill patternType="solid">
        <fgColor rgb="FFFFCC99"/>
      </patternFill>
    </fill>
    <fill>
      <patternFill patternType="solid">
        <fgColor rgb="FFF2F2F2"/>
      </patternFill>
    </fill>
    <fill>
      <patternFill patternType="solid">
        <fgColor rgb="FFFFFF00"/>
        <bgColor indexed="64"/>
      </patternFill>
    </fill>
    <fill>
      <patternFill patternType="solid">
        <fgColor theme="8" tint="0.7999816888943144"/>
        <bgColor indexed="64"/>
      </patternFill>
    </fill>
    <fill>
      <patternFill patternType="solid">
        <fgColor theme="3" tint="-0.249977111117893"/>
        <bgColor indexed="64"/>
      </patternFill>
    </fill>
    <fill>
      <patternFill patternType="solid">
        <fgColor rgb="FF00B0F0"/>
        <bgColor indexed="64"/>
      </patternFill>
    </fill>
    <fill>
      <patternFill patternType="solid">
        <fgColor theme="3"/>
        <bgColor indexed="64"/>
      </patternFill>
    </fill>
    <fill>
      <patternFill patternType="solid">
        <fgColor theme="6" tint="0.3999755851924192"/>
        <bgColor indexed="64"/>
      </patternFill>
    </fill>
    <fill>
      <patternFill patternType="solid">
        <fgColor rgb="FF00B050"/>
        <bgColor indexed="64"/>
      </patternFill>
    </fill>
    <fill>
      <patternFill patternType="solid">
        <fgColor theme="8" tint="0.3999755851924192"/>
        <bgColor indexed="64"/>
      </patternFill>
    </fill>
    <fill>
      <patternFill patternType="solid">
        <fgColor theme="9" tint="0.5999938962981048"/>
        <bgColor indexed="64"/>
      </patternFill>
    </fill>
    <fill>
      <patternFill patternType="solid">
        <fgColor rgb="FFFFEB9C"/>
      </patternFill>
    </fill>
    <fill>
      <patternFill patternType="solid">
        <fgColor theme="5"/>
      </patternFill>
    </fill>
    <fill>
      <patternFill patternType="solid">
        <fgColor rgb="FF0070C0"/>
        <bgColor theme="1"/>
      </patternFill>
    </fill>
    <fill>
      <patternFill patternType="solid">
        <fgColor rgb="FF00B050"/>
        <bgColor theme="1"/>
      </patternFill>
    </fill>
    <fill>
      <patternFill patternType="solid">
        <fgColor theme="8" tint="0.5999938962981048"/>
        <bgColor indexed="64"/>
      </patternFill>
    </fill>
    <fill>
      <patternFill patternType="solid">
        <fgColor theme="3" tint="0.7999816888943144"/>
        <bgColor indexed="64"/>
      </patternFill>
    </fill>
    <fill>
      <patternFill patternType="solid">
        <fgColor theme="0"/>
        <bgColor indexed="64"/>
      </patternFill>
    </fill>
    <fill>
      <patternFill patternType="solid">
        <fgColor rgb="FF0070C0"/>
        <bgColor indexed="64"/>
      </patternFill>
    </fill>
    <fill>
      <patternFill patternType="solid">
        <fgColor rgb="FF002060"/>
        <bgColor indexed="64"/>
      </patternFill>
    </fill>
    <fill>
      <patternFill patternType="solid">
        <fgColor rgb="FFFFC000"/>
        <bgColor indexed="64"/>
      </patternFill>
    </fill>
    <fill>
      <patternFill patternType="solid">
        <fgColor rgb="FF92D050"/>
        <bgColor indexed="64"/>
      </patternFill>
    </fill>
    <fill>
      <patternFill patternType="solid">
        <fgColor theme="4"/>
      </patternFill>
    </fill>
    <fill>
      <patternFill patternType="solid">
        <fgColor theme="6" tint="0.5999938962981048"/>
        <bgColor indexed="64"/>
      </patternFill>
    </fill>
    <fill>
      <patternFill patternType="solid">
        <fgColor theme="4" tint="-0.249977111117893"/>
        <bgColor indexed="64"/>
      </patternFill>
    </fill>
    <fill>
      <patternFill patternType="solid">
        <fgColor theme="8" tint="-0.249946592608417"/>
        <bgColor indexed="64"/>
      </patternFill>
    </fill>
    <fill>
      <patternFill patternType="solid">
        <fgColor theme="4" tint="0.5999938962981048"/>
        <bgColor indexed="64"/>
      </patternFill>
    </fill>
    <fill>
      <patternFill patternType="solid">
        <fgColor theme="0"/>
        <bgColor theme="8" tint="0.5999938962981048"/>
      </patternFill>
    </fill>
    <fill>
      <patternFill patternType="solid">
        <fgColor theme="0"/>
        <bgColor theme="8" tint="0.7999816888943144"/>
      </patternFill>
    </fill>
    <fill>
      <patternFill patternType="solid">
        <fgColor theme="1"/>
        <bgColor indexed="64"/>
      </patternFill>
    </fill>
    <fill>
      <patternFill patternType="solid">
        <fgColor theme="0"/>
        <bgColor theme="1"/>
      </patternFill>
    </fill>
    <fill>
      <patternFill patternType="solid">
        <fgColor rgb="FFFFFF99"/>
        <bgColor indexed="64"/>
      </patternFill>
    </fill>
    <fill>
      <patternFill patternType="solid">
        <fgColor theme="9" tint="-0.249977111117893"/>
        <bgColor indexed="64"/>
      </patternFill>
    </fill>
    <fill>
      <patternFill patternType="solid">
        <fgColor theme="4" tint="0.7999816888943144"/>
        <bgColor indexed="64"/>
      </patternFill>
    </fill>
    <fill>
      <patternFill patternType="solid">
        <fgColor theme="3" tint="0.3999755851924192"/>
        <bgColor indexed="64"/>
      </patternFill>
    </fill>
    <fill>
      <patternFill patternType="solid">
        <fgColor rgb="FFFF0000"/>
        <bgColor indexed="64"/>
      </patternFill>
    </fill>
    <fill>
      <patternFill patternType="solid">
        <fgColor theme="2"/>
        <bgColor indexed="64"/>
      </patternFill>
    </fill>
    <fill>
      <patternFill patternType="solid">
        <fgColor rgb="FF1F4E78"/>
      </patternFill>
    </fill>
    <fill>
      <patternFill patternType="solid">
        <fgColor rgb="FFD9EAF7"/>
      </patternFill>
    </fill>
    <fill>
      <patternFill patternType="solid">
        <fgColor rgb="FFF2F2F2"/>
      </patternFill>
    </fill>
    <fill>
      <patternFill patternType="solid">
        <fgColor rgb="FFFFF2CC"/>
      </patternFill>
    </fill>
    <fill>
      <patternFill patternType="solid">
        <fgColor rgb="FFE2F0D9"/>
      </patternFill>
    </fill>
    <fill>
      <patternFill patternType="solid">
        <fgColor rgb="FFFCE4D6"/>
      </patternFill>
    </fill>
    <fill>
      <patternFill patternType="solid">
        <fgColor theme="0" tint="-0.1499984740745262"/>
        <bgColor indexed="64"/>
      </patternFill>
    </fill>
    <fill>
      <patternFill patternType="solid">
        <fgColor theme="0" tint="-0.1499679555650502"/>
        <bgColor indexed="64"/>
      </patternFill>
    </fill>
    <fill>
      <gradientFill type="linear" degree="90">
        <stop position="0">
          <color theme="0"/>
        </stop>
        <stop position="1">
          <color theme="4"/>
        </stop>
      </gradientFill>
    </fill>
  </fills>
  <borders count="139">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style="thick">
        <color rgb="FF92D050"/>
      </left>
      <right/>
      <top style="thick">
        <color rgb="FF92D050"/>
      </top>
      <bottom/>
      <diagonal/>
    </border>
    <border>
      <left/>
      <right/>
      <top style="thick">
        <color rgb="FF92D050"/>
      </top>
      <bottom/>
      <diagonal/>
    </border>
    <border>
      <left/>
      <right style="thick">
        <color rgb="FF92D050"/>
      </right>
      <top style="thick">
        <color rgb="FF92D050"/>
      </top>
      <bottom/>
      <diagonal/>
    </border>
    <border>
      <left style="thick">
        <color rgb="FF92D050"/>
      </left>
      <right/>
      <top/>
      <bottom/>
      <diagonal/>
    </border>
    <border>
      <left/>
      <right style="thick">
        <color rgb="FF92D050"/>
      </right>
      <top/>
      <bottom/>
      <diagonal/>
    </border>
    <border>
      <left style="thick">
        <color rgb="FF92D050"/>
      </left>
      <right/>
      <top/>
      <bottom style="thick">
        <color rgb="FF92D050"/>
      </bottom>
      <diagonal/>
    </border>
    <border>
      <left/>
      <right/>
      <top/>
      <bottom style="thick">
        <color rgb="FF92D050"/>
      </bottom>
      <diagonal/>
    </border>
    <border>
      <left/>
      <right style="thick">
        <color rgb="FF92D050"/>
      </right>
      <top/>
      <bottom style="thick">
        <color rgb="FF92D050"/>
      </bottom>
      <diagonal/>
    </border>
    <border>
      <left style="thin">
        <color rgb="FF3F3F3F"/>
      </left>
      <right style="thin">
        <color rgb="FF3F3F3F"/>
      </right>
      <top style="thin">
        <color rgb="FF3F3F3F"/>
      </top>
      <bottom/>
      <diagonal/>
    </border>
    <border>
      <left style="thin">
        <color rgb="FF7F7F7F"/>
      </left>
      <right style="thin">
        <color rgb="FF7F7F7F"/>
      </right>
      <top style="thin">
        <color rgb="FF7F7F7F"/>
      </top>
      <bottom/>
      <diagonal/>
    </border>
    <border>
      <left style="medium">
        <color rgb="FFFFC000"/>
      </left>
      <right style="medium">
        <color rgb="FFFFC000"/>
      </right>
      <top style="medium">
        <color rgb="FFFFC000"/>
      </top>
      <bottom style="medium">
        <color rgb="FFFFC000"/>
      </bottom>
      <diagonal/>
    </border>
    <border>
      <left style="medium">
        <color rgb="FFFFC000"/>
      </left>
      <right style="medium">
        <color rgb="FFFFC000"/>
      </right>
      <top style="medium">
        <color rgb="FFFFC000"/>
      </top>
      <bottom/>
      <diagonal/>
    </border>
    <border>
      <left style="thick">
        <color rgb="FFFFC000"/>
      </left>
      <right style="thin">
        <color rgb="FF3F3F3F"/>
      </right>
      <top style="thick">
        <color rgb="FFFFC000"/>
      </top>
      <bottom style="thick">
        <color rgb="FFFFC000"/>
      </bottom>
      <diagonal/>
    </border>
    <border>
      <left style="thin">
        <color rgb="FF7F7F7F"/>
      </left>
      <right style="thick">
        <color rgb="FFFFC000"/>
      </right>
      <top style="thick">
        <color rgb="FFFFC000"/>
      </top>
      <bottom style="thick">
        <color rgb="FFFFC000"/>
      </bottom>
      <diagonal/>
    </border>
    <border>
      <left/>
      <right/>
      <top/>
      <bottom style="thick">
        <color theme="4"/>
      </bottom>
      <diagonal/>
    </border>
    <border>
      <left/>
      <right style="thin">
        <color indexed="64"/>
      </right>
      <top/>
      <bottom/>
      <diagonal/>
    </border>
    <border>
      <left/>
      <right style="thick">
        <color rgb="FF002060"/>
      </right>
      <top/>
      <bottom/>
      <diagonal/>
    </border>
    <border>
      <left/>
      <right/>
      <top style="thick">
        <color rgb="FF00B050"/>
      </top>
      <bottom/>
      <diagonal/>
    </border>
    <border>
      <left style="thick">
        <color rgb="FF00B050"/>
      </left>
      <right/>
      <top/>
      <bottom/>
      <diagonal/>
    </border>
    <border>
      <left/>
      <right style="dotted">
        <color theme="0" tint="-0.0499893185216834"/>
      </right>
      <top style="dotted">
        <color theme="0" tint="-0.0499893185216834"/>
      </top>
      <bottom style="dotted">
        <color theme="0" tint="-0.0499893185216834"/>
      </bottom>
      <diagonal/>
    </border>
    <border>
      <left/>
      <right/>
      <top style="thin">
        <color indexed="64"/>
      </top>
      <bottom/>
      <diagonal/>
    </border>
    <border>
      <left/>
      <right style="hair">
        <color theme="0"/>
      </right>
      <top/>
      <bottom style="hair">
        <color theme="0"/>
      </bottom>
      <diagonal/>
    </border>
    <border>
      <left style="hair">
        <color theme="0"/>
      </left>
      <right style="hair">
        <color theme="0"/>
      </right>
      <top/>
      <bottom style="hair">
        <color theme="0"/>
      </bottom>
      <diagonal/>
    </border>
    <border>
      <left/>
      <right style="hair">
        <color theme="0"/>
      </right>
      <top style="hair">
        <color theme="0"/>
      </top>
      <bottom style="hair">
        <color theme="0"/>
      </bottom>
      <diagonal/>
    </border>
    <border>
      <left style="hair">
        <color theme="0"/>
      </left>
      <right style="hair">
        <color theme="0"/>
      </right>
      <top style="hair">
        <color theme="0"/>
      </top>
      <bottom style="hair">
        <color theme="0"/>
      </bottom>
      <diagonal/>
    </border>
    <border>
      <left style="hair">
        <color theme="0"/>
      </left>
      <right/>
      <top style="hair">
        <color theme="0"/>
      </top>
      <bottom style="hair">
        <color theme="0"/>
      </bottom>
      <diagonal/>
    </border>
    <border>
      <left/>
      <right style="hair">
        <color theme="0"/>
      </right>
      <top style="hair">
        <color theme="0"/>
      </top>
      <bottom/>
      <diagonal/>
    </border>
    <border>
      <left style="hair">
        <color theme="0"/>
      </left>
      <right style="hair">
        <color theme="0"/>
      </right>
      <top style="hair">
        <color theme="0"/>
      </top>
      <bottom/>
      <diagonal/>
    </border>
    <border>
      <left style="hair">
        <color theme="0"/>
      </left>
      <right/>
      <top style="hair">
        <color theme="0"/>
      </top>
      <bottom/>
      <diagonal/>
    </border>
    <border>
      <left/>
      <right style="dotted">
        <color theme="0" tint="-0.0499893185216834"/>
      </right>
      <top/>
      <bottom style="dotted">
        <color theme="0" tint="-0.0499893185216834"/>
      </bottom>
      <diagonal/>
    </border>
    <border>
      <left/>
      <right style="thin">
        <color auto="1"/>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theme="8" tint="0.3999755851924192"/>
      </left>
      <right style="thin">
        <color theme="8" tint="0.3999755851924192"/>
      </right>
      <top style="thin">
        <color theme="8" tint="0.3999755851924192"/>
      </top>
      <bottom style="thin">
        <color theme="8" tint="0.3999755851924192"/>
      </bottom>
      <diagonal/>
    </border>
    <border>
      <left style="thick">
        <color rgb="FF002060"/>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8" tint="0.3999450666829432"/>
      </left>
      <right style="thin">
        <color theme="8" tint="0.3999450666829432"/>
      </right>
      <top style="thin">
        <color theme="8" tint="0.3999450666829432"/>
      </top>
      <bottom style="thin">
        <color theme="8" tint="0.3999450666829432"/>
      </bottom>
      <diagonal/>
    </border>
    <border>
      <left/>
      <right style="thin">
        <color theme="8" tint="0.3999755851924192"/>
      </right>
      <top style="thin">
        <color theme="8" tint="0.3999755851924192"/>
      </top>
      <bottom style="thin">
        <color theme="8" tint="0.3999755851924192"/>
      </bottom>
      <diagonal/>
    </border>
    <border>
      <left/>
      <right style="dotted">
        <color theme="0"/>
      </right>
      <top style="dotted">
        <color theme="0"/>
      </top>
      <bottom style="dotted">
        <color theme="0"/>
      </bottom>
      <diagonal/>
    </border>
    <border>
      <left style="dotted">
        <color theme="0"/>
      </left>
      <right style="dotted">
        <color theme="0"/>
      </right>
      <top style="dotted">
        <color theme="0"/>
      </top>
      <bottom style="dotted">
        <color theme="0"/>
      </bottom>
      <diagonal/>
    </border>
    <border>
      <left style="dotted">
        <color theme="0"/>
      </left>
      <right/>
      <top style="dotted">
        <color theme="0"/>
      </top>
      <bottom style="dotted">
        <color theme="0"/>
      </bottom>
      <diagonal/>
    </border>
    <border>
      <left/>
      <right style="dotted">
        <color theme="0"/>
      </right>
      <top style="dotted">
        <color theme="0"/>
      </top>
      <bottom/>
      <diagonal/>
    </border>
    <border>
      <left style="dotted">
        <color theme="0"/>
      </left>
      <right style="dotted">
        <color theme="0"/>
      </right>
      <top style="dotted">
        <color theme="0"/>
      </top>
      <bottom/>
      <diagonal/>
    </border>
    <border>
      <left style="dotted">
        <color theme="0"/>
      </left>
      <right/>
      <top style="dotted">
        <color theme="0"/>
      </top>
      <bottom/>
      <diagonal/>
    </border>
    <border>
      <left style="thick">
        <color rgb="FFFFC000"/>
      </left>
      <right style="thick">
        <color rgb="FFFFC000"/>
      </right>
      <top style="thick">
        <color rgb="FFFFC000"/>
      </top>
      <bottom/>
      <diagonal/>
    </border>
    <border>
      <left style="thick">
        <color rgb="FFFFC000"/>
      </left>
      <right style="thick">
        <color rgb="FFFFC000"/>
      </right>
      <top/>
      <bottom/>
      <diagonal/>
    </border>
    <border>
      <left style="thick">
        <color rgb="FFFFC000"/>
      </left>
      <right style="thick">
        <color rgb="FFFFC000"/>
      </right>
      <top/>
      <bottom style="thick">
        <color rgb="FFFFC000"/>
      </bottom>
      <diagonal/>
    </border>
    <border>
      <left style="thin">
        <color rgb="FF7F7F7F"/>
      </left>
      <right/>
      <top style="thin">
        <color rgb="FF3F3F3F"/>
      </top>
      <bottom style="thin">
        <color rgb="FF7F7F7F"/>
      </bottom>
      <diagonal/>
    </border>
    <border>
      <left style="thin">
        <color rgb="FF7F7F7F"/>
      </left>
      <right/>
      <top style="thin">
        <color rgb="FF7F7F7F"/>
      </top>
      <bottom/>
      <diagonal/>
    </border>
    <border>
      <left/>
      <right style="medium">
        <color auto="1"/>
      </right>
      <top/>
      <bottom/>
      <diagonal/>
    </border>
    <border>
      <left style="thin">
        <color theme="4"/>
      </left>
      <right style="thin">
        <color theme="4"/>
      </right>
      <top style="thin">
        <color theme="4"/>
      </top>
      <bottom style="thin">
        <color theme="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theme="4" tint="0.7999816888943144"/>
      </right>
      <top style="thin">
        <color theme="4" tint="0.7999511703848384"/>
      </top>
      <bottom style="thin">
        <color theme="4" tint="0.7999511703848384"/>
      </bottom>
      <diagonal/>
    </border>
    <border>
      <left style="medium">
        <color rgb="FFFFC000"/>
      </left>
      <right style="thin">
        <color theme="0"/>
      </right>
      <top style="thin">
        <color theme="8" tint="0.3999755851924192"/>
      </top>
      <bottom style="thin">
        <color theme="8" tint="0.3999755851924192"/>
      </bottom>
      <diagonal/>
    </border>
    <border>
      <left style="thin">
        <color theme="0"/>
      </left>
      <right style="thin">
        <color theme="0"/>
      </right>
      <top style="thin">
        <color theme="8" tint="0.3999755851924192"/>
      </top>
      <bottom style="thin">
        <color theme="8" tint="0.3999755851924192"/>
      </bottom>
      <diagonal/>
    </border>
    <border>
      <left style="thin">
        <color theme="0"/>
      </left>
      <right style="thin">
        <color theme="8" tint="0.3999755851924192"/>
      </right>
      <top style="thin">
        <color theme="8" tint="0.3999755851924192"/>
      </top>
      <bottom style="thin">
        <color theme="8" tint="0.3999755851924192"/>
      </bottom>
      <diagonal/>
    </border>
    <border>
      <left style="thin">
        <color theme="4"/>
      </left>
      <right style="thin">
        <color theme="4"/>
      </right>
      <top style="thin">
        <color theme="4"/>
      </top>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style="thin">
        <color auto="1"/>
      </left>
      <right style="thin">
        <color auto="1"/>
      </right>
      <top style="thin">
        <color theme="0"/>
      </top>
      <bottom style="thin">
        <color theme="0"/>
      </bottom>
      <diagonal/>
    </border>
    <border>
      <left style="thin">
        <color auto="1"/>
      </left>
      <right style="thin">
        <color auto="1"/>
      </right>
      <top style="thin">
        <color theme="0"/>
      </top>
      <bottom style="thin">
        <color auto="1"/>
      </bottom>
      <diagonal/>
    </border>
    <border>
      <left style="thick">
        <color rgb="FF0070C0"/>
      </left>
      <right style="thick">
        <color rgb="FF0070C0"/>
      </right>
      <top style="thick">
        <color rgb="FF0070C0"/>
      </top>
      <bottom/>
      <diagonal/>
    </border>
    <border>
      <left style="thick">
        <color rgb="FF0070C0"/>
      </left>
      <right style="thick">
        <color rgb="FF0070C0"/>
      </right>
      <top/>
      <bottom/>
      <diagonal/>
    </border>
    <border>
      <left style="thick">
        <color rgb="FF0070C0"/>
      </left>
      <right style="thick">
        <color rgb="FF0070C0"/>
      </right>
      <top/>
      <bottom style="thick">
        <color rgb="FF0070C0"/>
      </bottom>
      <diagonal/>
    </border>
    <border>
      <left style="thin">
        <color auto="1"/>
      </left>
      <right/>
      <top/>
      <bottom/>
      <diagonal/>
    </border>
    <border>
      <left style="thin">
        <color auto="1"/>
      </left>
      <right/>
      <top style="thin">
        <color theme="0"/>
      </top>
      <bottom style="thin">
        <color theme="0"/>
      </bottom>
      <diagonal/>
    </border>
    <border>
      <left style="thin">
        <color auto="1"/>
      </left>
      <right/>
      <top style="thin">
        <color theme="0"/>
      </top>
      <bottom/>
      <diagonal/>
    </border>
    <border>
      <left style="thin">
        <color rgb="FF7F7F7F"/>
      </left>
      <right/>
      <top/>
      <bottom/>
      <diagonal/>
    </border>
    <border>
      <left style="dotted">
        <color theme="0" tint="-0.0499893185216834"/>
      </left>
      <right style="dotted">
        <color theme="0" tint="-0.0499893185216834"/>
      </right>
      <top style="dotted">
        <color theme="0" tint="-0.0499893185216834"/>
      </top>
      <bottom style="dotted">
        <color theme="0" tint="-0.0499893185216834"/>
      </bottom>
      <diagonal/>
    </border>
    <border>
      <left/>
      <right/>
      <top style="dotted">
        <color theme="0" tint="-0.0499893185216834"/>
      </top>
      <bottom style="dotted">
        <color theme="0" tint="-0.0499893185216834"/>
      </bottom>
      <diagonal/>
    </border>
    <border>
      <left style="thin">
        <color indexed="64"/>
      </left>
      <right/>
      <top style="thin">
        <color indexed="64"/>
      </top>
      <bottom style="thin">
        <color indexed="64"/>
      </bottom>
      <diagonal/>
    </border>
    <border>
      <left/>
      <right style="dotted">
        <color theme="0"/>
      </right>
      <top/>
      <bottom style="dotted">
        <color theme="0"/>
      </bottom>
      <diagonal/>
    </border>
    <border>
      <left style="dotted">
        <color theme="0"/>
      </left>
      <right style="dotted">
        <color theme="0"/>
      </right>
      <top/>
      <bottom style="dotted">
        <color theme="0"/>
      </bottom>
      <diagonal/>
    </border>
    <border>
      <left style="dotted">
        <color theme="0"/>
      </left>
      <right/>
      <top/>
      <bottom style="dotted">
        <color theme="0"/>
      </bottom>
      <diagonal/>
    </border>
    <border>
      <left style="medium">
        <color theme="0"/>
      </left>
      <right style="medium">
        <color theme="0"/>
      </right>
      <top style="medium">
        <color theme="0"/>
      </top>
      <bottom style="medium">
        <color theme="0"/>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B7B7B7"/>
      </left>
      <right style="thin">
        <color rgb="FFB7B7B7"/>
      </right>
      <top style="thin">
        <color rgb="FFB7B7B7"/>
      </top>
      <bottom/>
      <diagonal/>
    </border>
    <border>
      <left style="thin">
        <color rgb="FFB7B7B7"/>
      </left>
      <right style="thin">
        <color rgb="FFB7B7B7"/>
      </right>
      <top/>
      <bottom style="thin">
        <color rgb="FFB7B7B7"/>
      </bottom>
      <diagonal/>
    </border>
    <border>
      <left/>
      <right style="thin">
        <color rgb="FFB7B7B7"/>
      </right>
      <top style="thin">
        <color rgb="FFB7B7B7"/>
      </top>
      <bottom/>
      <diagonal/>
    </border>
    <border>
      <left/>
      <right style="thin">
        <color rgb="FFB7B7B7"/>
      </right>
      <top/>
      <bottom style="thin">
        <color rgb="FFB7B7B7"/>
      </bottom>
      <diagonal/>
    </border>
    <border>
      <left style="thin">
        <color rgb="FFB7B7B7"/>
      </left>
      <right style="thin">
        <color rgb="FFB7B7B7"/>
      </right>
      <top style="medium">
        <color indexed="64"/>
      </top>
      <bottom style="thin">
        <color rgb="FFB7B7B7"/>
      </bottom>
      <diagonal/>
    </border>
    <border>
      <left style="thin">
        <color rgb="FFB7B7B7"/>
      </left>
      <right style="medium">
        <color indexed="64"/>
      </right>
      <top style="medium">
        <color indexed="64"/>
      </top>
      <bottom style="thin">
        <color rgb="FFB7B7B7"/>
      </bottom>
      <diagonal/>
    </border>
    <border>
      <left style="medium">
        <color indexed="64"/>
      </left>
      <right style="thin">
        <color rgb="FFB7B7B7"/>
      </right>
      <top style="thin">
        <color rgb="FFB7B7B7"/>
      </top>
      <bottom style="thin">
        <color rgb="FFB7B7B7"/>
      </bottom>
      <diagonal/>
    </border>
    <border>
      <left style="thin">
        <color rgb="FFB7B7B7"/>
      </left>
      <right style="medium">
        <color indexed="64"/>
      </right>
      <top style="thin">
        <color rgb="FFB7B7B7"/>
      </top>
      <bottom style="thin">
        <color rgb="FFB7B7B7"/>
      </bottom>
      <diagonal/>
    </border>
    <border>
      <left style="thin">
        <color rgb="FFB7B7B7"/>
      </left>
      <right style="thin">
        <color rgb="FFB7B7B7"/>
      </right>
      <top style="thin">
        <color rgb="FFB7B7B7"/>
      </top>
      <bottom style="medium">
        <color indexed="64"/>
      </bottom>
      <diagonal/>
    </border>
    <border>
      <left style="medium">
        <color indexed="64"/>
      </left>
      <right style="thin">
        <color rgb="FFB7B7B7"/>
      </right>
      <top style="medium">
        <color indexed="64"/>
      </top>
      <bottom style="thin">
        <color rgb="FFB7B7B7"/>
      </bottom>
      <diagonal/>
    </border>
    <border>
      <left style="medium">
        <color indexed="64"/>
      </left>
      <right style="thin">
        <color rgb="FFB7B7B7"/>
      </right>
      <top style="thin">
        <color rgb="FFB7B7B7"/>
      </top>
      <bottom style="medium">
        <color indexed="64"/>
      </bottom>
      <diagonal/>
    </border>
    <border>
      <left style="thin">
        <color rgb="FFB7B7B7"/>
      </left>
      <right style="medium">
        <color indexed="64"/>
      </right>
      <top style="thin">
        <color rgb="FFB7B7B7"/>
      </top>
      <bottom style="medium">
        <color indexed="64"/>
      </bottom>
      <diagonal/>
    </border>
    <border>
      <left style="thin">
        <color rgb="FFB7B7B7"/>
      </left>
      <right style="thin">
        <color rgb="FFB7B7B7"/>
      </right>
      <top style="medium">
        <color indexed="64"/>
      </top>
      <bottom/>
      <diagonal/>
    </border>
    <border>
      <left style="thin">
        <color rgb="FFB7B7B7"/>
      </left>
      <right style="medium">
        <color indexed="64"/>
      </right>
      <top style="medium">
        <color indexed="64"/>
      </top>
      <bottom/>
      <diagonal/>
    </border>
    <border>
      <left style="medium">
        <color indexed="64"/>
      </left>
      <right style="thin">
        <color rgb="FFB7B7B7"/>
      </right>
      <top style="thin">
        <color rgb="FFB7B7B7"/>
      </top>
      <bottom/>
      <diagonal/>
    </border>
    <border>
      <left style="thin">
        <color rgb="FFB7B7B7"/>
      </left>
      <right style="medium">
        <color indexed="64"/>
      </right>
      <top style="thin">
        <color rgb="FFB7B7B7"/>
      </top>
      <bottom/>
      <diagonal/>
    </border>
    <border>
      <left style="thin">
        <color auto="1"/>
      </left>
      <right style="medium">
        <color indexed="64"/>
      </right>
      <top style="medium">
        <color indexed="64"/>
      </top>
      <bottom/>
      <diagonal/>
    </border>
    <border>
      <left style="medium">
        <color indexed="64"/>
      </left>
      <right style="thin">
        <color rgb="FFB7B7B7"/>
      </right>
      <top style="medium">
        <color indexed="64"/>
      </top>
      <bottom/>
      <diagonal/>
    </border>
    <border>
      <left/>
      <right/>
      <top style="thin">
        <color rgb="FFB7B7B7"/>
      </top>
      <bottom/>
      <diagonal/>
    </border>
    <border>
      <left/>
      <right/>
      <top style="thin">
        <color auto="1"/>
      </top>
      <bottom/>
      <diagonal/>
    </border>
    <border>
      <left/>
      <right style="thin">
        <color auto="1"/>
      </right>
      <top style="thin">
        <color auto="1"/>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medium">
        <color indexed="64"/>
      </left>
      <right/>
      <top style="medium">
        <color indexed="64"/>
      </top>
      <bottom style="medium">
        <color indexed="64"/>
      </bottom>
      <diagonal/>
    </border>
  </borders>
  <cellStyleXfs count="12">
    <xf numFmtId="0" fontId="18" fillId="0" borderId="0"/>
    <xf numFmtId="0" fontId="1" fillId="2" borderId="1"/>
    <xf numFmtId="0" fontId="2" fillId="41" borderId="2"/>
    <xf numFmtId="0" fontId="9" fillId="14" borderId="0"/>
    <xf numFmtId="0" fontId="10" fillId="0" borderId="26"/>
    <xf numFmtId="0" fontId="5" fillId="24" borderId="0"/>
    <xf numFmtId="0" fontId="8" fillId="13" borderId="0"/>
    <xf numFmtId="0" fontId="9" fillId="14" borderId="0"/>
    <xf numFmtId="0" fontId="27" fillId="13" borderId="0"/>
    <xf numFmtId="0" fontId="5" fillId="14" borderId="0"/>
    <xf numFmtId="0" fontId="51" fillId="0" borderId="0"/>
    <xf numFmtId="168" fontId="18" fillId="0" borderId="0"/>
  </cellStyleXfs>
  <cellXfs count="469">
    <xf numFmtId="0" fontId="0" fillId="0" borderId="0" pivotButton="0" quotePrefix="0" xfId="0"/>
    <xf numFmtId="0" fontId="0" fillId="4" borderId="0" pivotButton="0" quotePrefix="0" xfId="0"/>
    <xf numFmtId="0" fontId="3" fillId="0" borderId="0" pivotButton="0" quotePrefix="0" xfId="0"/>
    <xf numFmtId="0" fontId="4" fillId="4" borderId="0" pivotButton="0" quotePrefix="0" xfId="0"/>
    <xf numFmtId="0" fontId="5" fillId="8" borderId="0" pivotButton="0" quotePrefix="0" xfId="0"/>
    <xf numFmtId="0" fontId="5" fillId="0" borderId="0" pivotButton="0" quotePrefix="0" xfId="0"/>
    <xf numFmtId="0" fontId="5" fillId="8" borderId="22" pivotButton="0" quotePrefix="0" xfId="0"/>
    <xf numFmtId="0" fontId="0" fillId="9" borderId="0" pivotButton="0" quotePrefix="0" xfId="0"/>
    <xf numFmtId="0" fontId="5" fillId="9" borderId="0" pivotButton="0" quotePrefix="0" xfId="0"/>
    <xf numFmtId="0" fontId="0" fillId="11" borderId="0" pivotButton="0" quotePrefix="0" xfId="0"/>
    <xf numFmtId="0" fontId="0" fillId="12" borderId="0" pivotButton="0" quotePrefix="0" xfId="0"/>
    <xf numFmtId="0" fontId="7" fillId="0" borderId="0" pivotButton="0" quotePrefix="0" xfId="0"/>
    <xf numFmtId="0" fontId="0" fillId="0" borderId="0" applyAlignment="1" pivotButton="0" quotePrefix="0" xfId="0">
      <alignment horizontal="left"/>
    </xf>
    <xf numFmtId="0" fontId="0" fillId="23" borderId="0" pivotButton="0" quotePrefix="0" xfId="0"/>
    <xf numFmtId="0" fontId="0" fillId="10" borderId="0" pivotButton="0" quotePrefix="0" xfId="0"/>
    <xf numFmtId="0" fontId="11" fillId="0" borderId="0" pivotButton="0" quotePrefix="0" xfId="0"/>
    <xf numFmtId="0" fontId="12" fillId="4" borderId="26" pivotButton="0" quotePrefix="0" xfId="4"/>
    <xf numFmtId="0" fontId="11" fillId="23" borderId="0" pivotButton="0" quotePrefix="0" xfId="0"/>
    <xf numFmtId="0" fontId="11" fillId="10" borderId="0" pivotButton="0" quotePrefix="0" xfId="0"/>
    <xf numFmtId="0" fontId="17" fillId="0" borderId="0" pivotButton="0" quotePrefix="0" xfId="0"/>
    <xf numFmtId="0" fontId="19" fillId="0" borderId="0" pivotButton="0" quotePrefix="0" xfId="0"/>
    <xf numFmtId="0" fontId="11" fillId="0" borderId="28" pivotButton="0" quotePrefix="0" xfId="0"/>
    <xf numFmtId="164" fontId="11" fillId="0" borderId="48" pivotButton="0" quotePrefix="0" xfId="0"/>
    <xf numFmtId="164" fontId="11" fillId="0" borderId="49" pivotButton="0" quotePrefix="0" xfId="0"/>
    <xf numFmtId="164" fontId="11" fillId="0" borderId="50" pivotButton="0" quotePrefix="0" xfId="0"/>
    <xf numFmtId="164" fontId="11" fillId="0" borderId="43" pivotButton="0" quotePrefix="0" xfId="0"/>
    <xf numFmtId="164" fontId="11" fillId="0" borderId="44" pivotButton="0" quotePrefix="0" xfId="0"/>
    <xf numFmtId="0" fontId="20" fillId="0" borderId="0" pivotButton="0" quotePrefix="0" xfId="0"/>
    <xf numFmtId="164" fontId="11" fillId="0" borderId="0" pivotButton="0" quotePrefix="0" xfId="0"/>
    <xf numFmtId="164" fontId="12" fillId="0" borderId="0" pivotButton="0" quotePrefix="0" xfId="0"/>
    <xf numFmtId="164" fontId="11" fillId="0" borderId="45" pivotButton="0" quotePrefix="0" xfId="0"/>
    <xf numFmtId="164" fontId="11" fillId="0" borderId="46" pivotButton="0" quotePrefix="0" xfId="0"/>
    <xf numFmtId="0" fontId="21" fillId="0" borderId="0" pivotButton="0" quotePrefix="0" xfId="0"/>
    <xf numFmtId="0" fontId="11" fillId="0" borderId="6" pivotButton="0" quotePrefix="0" xfId="0"/>
    <xf numFmtId="0" fontId="19" fillId="20" borderId="9" pivotButton="0" quotePrefix="0" xfId="0"/>
    <xf numFmtId="10" fontId="22" fillId="0" borderId="11" pivotButton="0" quotePrefix="0" xfId="0"/>
    <xf numFmtId="0" fontId="11" fillId="6" borderId="0" pivotButton="0" quotePrefix="0" xfId="0"/>
    <xf numFmtId="0" fontId="13" fillId="6" borderId="0" pivotButton="0" quotePrefix="0" xfId="0"/>
    <xf numFmtId="0" fontId="14" fillId="15" borderId="27" pivotButton="0" quotePrefix="0" xfId="0"/>
    <xf numFmtId="0" fontId="11" fillId="17" borderId="42" pivotButton="0" quotePrefix="0" xfId="0"/>
    <xf numFmtId="0" fontId="11" fillId="17" borderId="31" pivotButton="0" quotePrefix="0" xfId="0"/>
    <xf numFmtId="0" fontId="14" fillId="16" borderId="27" pivotButton="0" quotePrefix="0" xfId="0"/>
    <xf numFmtId="0" fontId="23" fillId="15" borderId="29" applyAlignment="1" pivotButton="0" quotePrefix="0" xfId="0">
      <alignment horizontal="center"/>
    </xf>
    <xf numFmtId="0" fontId="14" fillId="6" borderId="0" pivotButton="0" quotePrefix="0" xfId="0"/>
    <xf numFmtId="0" fontId="23" fillId="16" borderId="0" applyAlignment="1" pivotButton="0" quotePrefix="0" xfId="0">
      <alignment horizontal="center"/>
    </xf>
    <xf numFmtId="0" fontId="26" fillId="26" borderId="0" pivotButton="0" quotePrefix="0" xfId="0"/>
    <xf numFmtId="0" fontId="11" fillId="7" borderId="0" pivotButton="0" quotePrefix="0" xfId="0"/>
    <xf numFmtId="0" fontId="14" fillId="8" borderId="3" pivotButton="0" quotePrefix="0" xfId="2"/>
    <xf numFmtId="0" fontId="14" fillId="6" borderId="2" pivotButton="0" quotePrefix="0" xfId="2"/>
    <xf numFmtId="0" fontId="28" fillId="2" borderId="1" pivotButton="0" quotePrefix="0" xfId="1"/>
    <xf numFmtId="0" fontId="30" fillId="6" borderId="20" pivotButton="0" quotePrefix="0" xfId="2"/>
    <xf numFmtId="0" fontId="11" fillId="10" borderId="4" pivotButton="0" quotePrefix="0" xfId="0"/>
    <xf numFmtId="0" fontId="11" fillId="10" borderId="6" pivotButton="0" quotePrefix="0" xfId="0"/>
    <xf numFmtId="0" fontId="11" fillId="10" borderId="9" pivotButton="0" quotePrefix="0" xfId="0"/>
    <xf numFmtId="0" fontId="11" fillId="10" borderId="11" pivotButton="0" quotePrefix="0" xfId="0"/>
    <xf numFmtId="0" fontId="30" fillId="6" borderId="24" pivotButton="0" quotePrefix="0" xfId="2"/>
    <xf numFmtId="0" fontId="31" fillId="2" borderId="25" pivotButton="0" quotePrefix="0" xfId="1"/>
    <xf numFmtId="0" fontId="11" fillId="11" borderId="4" pivotButton="0" quotePrefix="0" xfId="0"/>
    <xf numFmtId="0" fontId="11" fillId="11" borderId="6" pivotButton="0" quotePrefix="0" xfId="0"/>
    <xf numFmtId="0" fontId="11" fillId="11" borderId="9" pivotButton="0" quotePrefix="0" xfId="0"/>
    <xf numFmtId="0" fontId="11" fillId="11" borderId="11" pivotButton="0" quotePrefix="0" xfId="0"/>
    <xf numFmtId="0" fontId="19" fillId="19" borderId="0" pivotButton="0" quotePrefix="0" xfId="0"/>
    <xf numFmtId="0" fontId="29" fillId="5" borderId="1" pivotButton="0" quotePrefix="0" xfId="1"/>
    <xf numFmtId="0" fontId="32" fillId="0" borderId="0" pivotButton="0" quotePrefix="0" xfId="0"/>
    <xf numFmtId="0" fontId="33" fillId="0" borderId="0" pivotButton="0" quotePrefix="0" xfId="0"/>
    <xf numFmtId="0" fontId="25" fillId="0" borderId="0" pivotButton="0" quotePrefix="0" xfId="0"/>
    <xf numFmtId="0" fontId="23" fillId="21" borderId="0" pivotButton="0" quotePrefix="0" xfId="0"/>
    <xf numFmtId="0" fontId="24" fillId="10" borderId="0" pivotButton="0" quotePrefix="0" xfId="0"/>
    <xf numFmtId="0" fontId="11" fillId="0" borderId="27" pivotButton="0" quotePrefix="0" xfId="0"/>
    <xf numFmtId="0" fontId="35" fillId="0" borderId="0" pivotButton="0" quotePrefix="0" xfId="0"/>
    <xf numFmtId="0" fontId="11" fillId="21" borderId="0" pivotButton="0" quotePrefix="0" xfId="0"/>
    <xf numFmtId="0" fontId="13" fillId="21" borderId="0" pivotButton="0" quotePrefix="0" xfId="0"/>
    <xf numFmtId="0" fontId="13" fillId="10" borderId="27" pivotButton="0" quotePrefix="0" xfId="0"/>
    <xf numFmtId="0" fontId="13" fillId="15" borderId="32" applyAlignment="1" pivotButton="0" quotePrefix="0" xfId="0">
      <alignment horizontal="center"/>
    </xf>
    <xf numFmtId="0" fontId="11" fillId="17" borderId="27" pivotButton="0" quotePrefix="0" xfId="0"/>
    <xf numFmtId="0" fontId="20" fillId="12" borderId="62" pivotButton="0" quotePrefix="0" xfId="0"/>
    <xf numFmtId="0" fontId="11" fillId="10" borderId="59" pivotButton="0" quotePrefix="0" xfId="0"/>
    <xf numFmtId="0" fontId="11" fillId="10" borderId="60" pivotButton="0" quotePrefix="0" xfId="0"/>
    <xf numFmtId="0" fontId="11" fillId="10" borderId="61" pivotButton="0" quotePrefix="0" xfId="0"/>
    <xf numFmtId="0" fontId="23" fillId="10" borderId="0" pivotButton="0" quotePrefix="0" xfId="0"/>
    <xf numFmtId="0" fontId="23" fillId="20" borderId="0" pivotButton="0" quotePrefix="0" xfId="0"/>
    <xf numFmtId="0" fontId="23" fillId="20" borderId="0" applyAlignment="1" pivotButton="0" quotePrefix="0" xfId="0">
      <alignment wrapText="1"/>
    </xf>
    <xf numFmtId="2" fontId="33" fillId="0" borderId="0" pivotButton="0" quotePrefix="0" xfId="0"/>
    <xf numFmtId="0" fontId="37" fillId="22" borderId="2" pivotButton="0" quotePrefix="0" xfId="2"/>
    <xf numFmtId="0" fontId="34" fillId="21" borderId="0" pivotButton="0" quotePrefix="0" xfId="0"/>
    <xf numFmtId="0" fontId="23" fillId="24" borderId="53" pivotButton="0" quotePrefix="0" xfId="5"/>
    <xf numFmtId="0" fontId="33" fillId="25" borderId="54" pivotButton="0" quotePrefix="0" xfId="0"/>
    <xf numFmtId="0" fontId="33" fillId="18" borderId="54" pivotButton="0" quotePrefix="0" xfId="0"/>
    <xf numFmtId="0" fontId="33" fillId="18" borderId="55" pivotButton="0" quotePrefix="0" xfId="0"/>
    <xf numFmtId="0" fontId="23" fillId="24" borderId="56" pivotButton="0" quotePrefix="0" xfId="5"/>
    <xf numFmtId="0" fontId="33" fillId="18" borderId="57" pivotButton="0" quotePrefix="0" xfId="0"/>
    <xf numFmtId="0" fontId="33" fillId="18" borderId="58" pivotButton="0" quotePrefix="0" xfId="0"/>
    <xf numFmtId="0" fontId="39" fillId="26" borderId="0" pivotButton="0" quotePrefix="0" xfId="0"/>
    <xf numFmtId="0" fontId="20" fillId="7" borderId="0" pivotButton="0" quotePrefix="0" xfId="0"/>
    <xf numFmtId="0" fontId="11" fillId="11" borderId="5" pivotButton="0" quotePrefix="0" xfId="0"/>
    <xf numFmtId="0" fontId="11" fillId="11" borderId="10" pivotButton="0" quotePrefix="0" xfId="0"/>
    <xf numFmtId="10" fontId="22" fillId="0" borderId="0" pivotButton="0" quotePrefix="0" xfId="0"/>
    <xf numFmtId="0" fontId="14" fillId="6" borderId="20" pivotButton="0" quotePrefix="0" xfId="2"/>
    <xf numFmtId="0" fontId="28" fillId="2" borderId="21" pivotButton="0" quotePrefix="0" xfId="1"/>
    <xf numFmtId="0" fontId="11" fillId="0" borderId="64" pivotButton="0" quotePrefix="0" xfId="0"/>
    <xf numFmtId="0" fontId="11" fillId="0" borderId="30" pivotButton="0" quotePrefix="0" xfId="0"/>
    <xf numFmtId="0" fontId="15" fillId="7" borderId="0" pivotButton="0" quotePrefix="0" xfId="0"/>
    <xf numFmtId="0" fontId="29" fillId="25" borderId="1" pivotButton="0" quotePrefix="0" xfId="1"/>
    <xf numFmtId="0" fontId="29" fillId="12" borderId="1" pivotButton="0" quotePrefix="0" xfId="1"/>
    <xf numFmtId="0" fontId="11" fillId="27" borderId="59" pivotButton="0" quotePrefix="0" xfId="0"/>
    <xf numFmtId="0" fontId="11" fillId="27" borderId="60" pivotButton="0" quotePrefix="0" xfId="0"/>
    <xf numFmtId="0" fontId="11" fillId="27" borderId="61" pivotButton="0" quotePrefix="0" xfId="0"/>
    <xf numFmtId="0" fontId="24" fillId="6" borderId="2" pivotButton="0" quotePrefix="0" xfId="2"/>
    <xf numFmtId="0" fontId="24" fillId="6" borderId="20" pivotButton="0" quotePrefix="0" xfId="2"/>
    <xf numFmtId="0" fontId="40" fillId="0" borderId="0" pivotButton="0" quotePrefix="0" xfId="0"/>
    <xf numFmtId="0" fontId="41" fillId="26" borderId="0" pivotButton="0" quotePrefix="0" xfId="0"/>
    <xf numFmtId="0" fontId="22" fillId="0" borderId="0" pivotButton="0" quotePrefix="0" xfId="0"/>
    <xf numFmtId="0" fontId="42" fillId="0" borderId="0" pivotButton="0" quotePrefix="0" xfId="0"/>
    <xf numFmtId="0" fontId="0" fillId="0" borderId="0" applyAlignment="1" pivotButton="0" quotePrefix="0" xfId="0">
      <alignment horizontal="center"/>
    </xf>
    <xf numFmtId="0" fontId="43" fillId="0" borderId="0" pivotButton="0" quotePrefix="0" xfId="0"/>
    <xf numFmtId="2" fontId="11" fillId="18" borderId="5" pivotButton="0" quotePrefix="0" xfId="0"/>
    <xf numFmtId="0" fontId="11" fillId="18" borderId="10" pivotButton="0" quotePrefix="0" xfId="0"/>
    <xf numFmtId="0" fontId="19" fillId="10" borderId="20" pivotButton="0" quotePrefix="0" xfId="2"/>
    <xf numFmtId="0" fontId="44" fillId="0" borderId="0" pivotButton="0" quotePrefix="0" xfId="0"/>
    <xf numFmtId="0" fontId="21" fillId="0" borderId="67" pivotButton="0" quotePrefix="0" xfId="0"/>
    <xf numFmtId="0" fontId="21" fillId="0" borderId="68" pivotButton="0" quotePrefix="0" xfId="0"/>
    <xf numFmtId="0" fontId="21" fillId="0" borderId="66" pivotButton="0" quotePrefix="0" xfId="0"/>
    <xf numFmtId="0" fontId="46" fillId="7" borderId="23" pivotButton="0" quotePrefix="0" xfId="3"/>
    <xf numFmtId="0" fontId="23" fillId="20" borderId="70" applyAlignment="1" pivotButton="0" quotePrefix="0" xfId="0">
      <alignment wrapText="1"/>
    </xf>
    <xf numFmtId="0" fontId="23" fillId="20" borderId="71" applyAlignment="1" pivotButton="0" quotePrefix="0" xfId="0">
      <alignment wrapText="1"/>
    </xf>
    <xf numFmtId="0" fontId="23" fillId="20" borderId="71" pivotButton="0" quotePrefix="0" xfId="0"/>
    <xf numFmtId="0" fontId="23" fillId="20" borderId="72" pivotButton="0" quotePrefix="0" xfId="0"/>
    <xf numFmtId="0" fontId="36" fillId="18" borderId="65" pivotButton="0" quotePrefix="0" xfId="0"/>
    <xf numFmtId="0" fontId="34" fillId="10" borderId="73" applyAlignment="1" pivotButton="0" quotePrefix="0" xfId="0">
      <alignment wrapText="1"/>
    </xf>
    <xf numFmtId="0" fontId="23" fillId="10" borderId="0" applyAlignment="1" pivotButton="0" quotePrefix="0" xfId="0">
      <alignment wrapText="1"/>
    </xf>
    <xf numFmtId="0" fontId="38" fillId="28" borderId="69" pivotButton="0" quotePrefix="0" xfId="0"/>
    <xf numFmtId="0" fontId="24" fillId="10" borderId="59" pivotButton="0" quotePrefix="0" xfId="0"/>
    <xf numFmtId="0" fontId="24" fillId="10" borderId="60" pivotButton="0" quotePrefix="0" xfId="0"/>
    <xf numFmtId="0" fontId="24" fillId="10" borderId="61" pivotButton="0" quotePrefix="0" xfId="0"/>
    <xf numFmtId="0" fontId="11" fillId="0" borderId="74" pivotButton="0" quotePrefix="0" xfId="0"/>
    <xf numFmtId="0" fontId="24" fillId="0" borderId="0" pivotButton="0" quotePrefix="0" xfId="0"/>
    <xf numFmtId="0" fontId="11" fillId="7" borderId="75" pivotButton="0" quotePrefix="0" xfId="0"/>
    <xf numFmtId="0" fontId="11" fillId="7" borderId="76" pivotButton="0" quotePrefix="0" xfId="0"/>
    <xf numFmtId="0" fontId="11" fillId="7" borderId="77" pivotButton="0" quotePrefix="0" xfId="0"/>
    <xf numFmtId="0" fontId="48" fillId="0" borderId="0" pivotButton="0" quotePrefix="0" xfId="0"/>
    <xf numFmtId="0" fontId="49" fillId="0" borderId="0" pivotButton="0" quotePrefix="0" xfId="0"/>
    <xf numFmtId="0" fontId="33" fillId="0" borderId="0" applyAlignment="1" pivotButton="0" quotePrefix="0" xfId="0">
      <alignment horizontal="center"/>
    </xf>
    <xf numFmtId="0" fontId="49" fillId="22" borderId="78" pivotButton="0" quotePrefix="0" xfId="0"/>
    <xf numFmtId="0" fontId="49" fillId="22" borderId="79" pivotButton="0" quotePrefix="0" xfId="0"/>
    <xf numFmtId="0" fontId="49" fillId="22" borderId="80" pivotButton="0" quotePrefix="0" xfId="0"/>
    <xf numFmtId="0" fontId="0" fillId="9" borderId="4" pivotButton="0" quotePrefix="0" xfId="0"/>
    <xf numFmtId="0" fontId="0" fillId="9" borderId="7" pivotButton="0" quotePrefix="0" xfId="0"/>
    <xf numFmtId="0" fontId="0" fillId="9" borderId="9" pivotButton="0" quotePrefix="0" xfId="0"/>
    <xf numFmtId="0" fontId="0" fillId="9" borderId="10" pivotButton="0" quotePrefix="0" xfId="0"/>
    <xf numFmtId="0" fontId="0" fillId="9" borderId="11" pivotButton="0" quotePrefix="0" xfId="0"/>
    <xf numFmtId="0" fontId="0" fillId="9" borderId="6" pivotButton="0" quotePrefix="0" xfId="0"/>
    <xf numFmtId="0" fontId="0" fillId="9" borderId="8" pivotButton="0" quotePrefix="0" xfId="0"/>
    <xf numFmtId="0" fontId="0" fillId="9" borderId="5" pivotButton="0" quotePrefix="0" xfId="0"/>
    <xf numFmtId="0" fontId="11" fillId="7" borderId="81" pivotButton="0" quotePrefix="0" xfId="0"/>
    <xf numFmtId="0" fontId="24" fillId="6" borderId="82" pivotButton="0" quotePrefix="0" xfId="0"/>
    <xf numFmtId="0" fontId="24" fillId="6" borderId="83" pivotButton="0" quotePrefix="0" xfId="0"/>
    <xf numFmtId="0" fontId="33" fillId="19" borderId="51" pivotButton="0" quotePrefix="0" xfId="0"/>
    <xf numFmtId="0" fontId="33" fillId="29" borderId="52" pivotButton="0" quotePrefix="0" xfId="0"/>
    <xf numFmtId="2" fontId="33" fillId="29" borderId="47" pivotButton="0" quotePrefix="0" xfId="0"/>
    <xf numFmtId="0" fontId="33" fillId="30" borderId="52" pivotButton="0" quotePrefix="0" xfId="0"/>
    <xf numFmtId="2" fontId="33" fillId="30" borderId="47" pivotButton="0" quotePrefix="0" xfId="0"/>
    <xf numFmtId="0" fontId="50" fillId="0" borderId="0" applyAlignment="1" pivotButton="0" quotePrefix="0" xfId="0">
      <alignment vertical="center"/>
    </xf>
    <xf numFmtId="0" fontId="53" fillId="0" borderId="0" applyAlignment="1" pivotButton="0" quotePrefix="0" xfId="0">
      <alignment vertical="center"/>
    </xf>
    <xf numFmtId="0" fontId="19" fillId="19" borderId="63" pivotButton="0" quotePrefix="0" xfId="0"/>
    <xf numFmtId="0" fontId="19" fillId="19" borderId="84" pivotButton="0" quotePrefix="0" xfId="0"/>
    <xf numFmtId="0" fontId="11" fillId="19" borderId="36" pivotButton="0" quotePrefix="0" xfId="0"/>
    <xf numFmtId="0" fontId="11" fillId="19" borderId="37" pivotButton="0" quotePrefix="0" xfId="0"/>
    <xf numFmtId="0" fontId="11" fillId="19" borderId="39" pivotButton="0" quotePrefix="0" xfId="0"/>
    <xf numFmtId="0" fontId="11" fillId="19" borderId="40" pivotButton="0" quotePrefix="0" xfId="0"/>
    <xf numFmtId="0" fontId="14" fillId="31" borderId="0" pivotButton="0" quotePrefix="0" xfId="0"/>
    <xf numFmtId="0" fontId="29" fillId="28" borderId="1" pivotButton="0" quotePrefix="0" xfId="1"/>
    <xf numFmtId="0" fontId="45" fillId="12" borderId="1" pivotButton="0" quotePrefix="0" xfId="1"/>
    <xf numFmtId="0" fontId="11" fillId="17" borderId="86" pivotButton="0" quotePrefix="0" xfId="0"/>
    <xf numFmtId="0" fontId="11" fillId="19" borderId="85" pivotButton="0" quotePrefix="0" xfId="0"/>
    <xf numFmtId="0" fontId="23" fillId="32" borderId="85" applyAlignment="1" pivotButton="0" quotePrefix="0" xfId="0">
      <alignment horizontal="center"/>
    </xf>
    <xf numFmtId="0" fontId="23" fillId="19" borderId="85" applyAlignment="1" pivotButton="0" quotePrefix="0" xfId="0">
      <alignment horizontal="center"/>
    </xf>
    <xf numFmtId="0" fontId="5" fillId="19" borderId="0" pivotButton="0" quotePrefix="0" xfId="0"/>
    <xf numFmtId="0" fontId="31" fillId="2" borderId="21" applyProtection="1" pivotButton="0" quotePrefix="0" xfId="1">
      <protection locked="0" hidden="0"/>
    </xf>
    <xf numFmtId="0" fontId="54" fillId="0" borderId="0" pivotButton="0" quotePrefix="0" xfId="0"/>
    <xf numFmtId="0" fontId="5" fillId="20" borderId="4" pivotButton="0" quotePrefix="0" xfId="0"/>
    <xf numFmtId="0" fontId="0" fillId="33" borderId="12" pivotButton="0" quotePrefix="0" xfId="0"/>
    <xf numFmtId="0" fontId="0" fillId="33" borderId="13" pivotButton="0" quotePrefix="0" xfId="0"/>
    <xf numFmtId="0" fontId="0" fillId="33" borderId="14" pivotButton="0" quotePrefix="0" xfId="0"/>
    <xf numFmtId="0" fontId="0" fillId="33" borderId="15" pivotButton="0" quotePrefix="0" xfId="0"/>
    <xf numFmtId="0" fontId="0" fillId="33" borderId="0" pivotButton="0" quotePrefix="0" xfId="0"/>
    <xf numFmtId="0" fontId="0" fillId="33" borderId="16" pivotButton="0" quotePrefix="0" xfId="0"/>
    <xf numFmtId="0" fontId="0" fillId="33" borderId="17" pivotButton="0" quotePrefix="0" xfId="0"/>
    <xf numFmtId="0" fontId="0" fillId="33" borderId="18" pivotButton="0" quotePrefix="0" xfId="0"/>
    <xf numFmtId="0" fontId="0" fillId="33" borderId="19" pivotButton="0" quotePrefix="0" xfId="0"/>
    <xf numFmtId="0" fontId="6" fillId="7" borderId="2" applyAlignment="1" pivotButton="0" quotePrefix="0" xfId="2">
      <alignment horizontal="left"/>
    </xf>
    <xf numFmtId="0" fontId="6" fillId="7" borderId="2" applyAlignment="1" pivotButton="0" quotePrefix="0" xfId="2">
      <alignment horizontal="center"/>
    </xf>
    <xf numFmtId="0" fontId="55" fillId="4" borderId="66" applyAlignment="1" pivotButton="0" quotePrefix="0" xfId="0">
      <alignment horizontal="right"/>
    </xf>
    <xf numFmtId="0" fontId="55" fillId="4" borderId="66" applyAlignment="1" pivotButton="0" quotePrefix="0" xfId="0">
      <alignment horizontal="left"/>
    </xf>
    <xf numFmtId="0" fontId="56" fillId="4" borderId="74" applyAlignment="1" pivotButton="0" quotePrefix="0" xfId="0">
      <alignment horizontal="left"/>
    </xf>
    <xf numFmtId="0" fontId="57" fillId="4" borderId="66" applyAlignment="1" pivotButton="0" quotePrefix="0" xfId="0">
      <alignment horizontal="left"/>
    </xf>
    <xf numFmtId="0" fontId="56" fillId="4" borderId="87" pivotButton="0" quotePrefix="0" xfId="0"/>
    <xf numFmtId="0" fontId="55" fillId="4" borderId="68" pivotButton="0" quotePrefix="0" xfId="0"/>
    <xf numFmtId="0" fontId="56" fillId="23" borderId="66" applyAlignment="1" pivotButton="0" quotePrefix="0" xfId="0">
      <alignment horizontal="left"/>
    </xf>
    <xf numFmtId="164" fontId="11" fillId="0" borderId="64" pivotButton="0" quotePrefix="0" xfId="0"/>
    <xf numFmtId="0" fontId="11" fillId="36" borderId="0" pivotButton="0" quotePrefix="0" xfId="0"/>
    <xf numFmtId="164" fontId="21" fillId="0" borderId="0" pivotButton="0" quotePrefix="0" xfId="0"/>
    <xf numFmtId="164" fontId="12" fillId="0" borderId="64" pivotButton="0" quotePrefix="0" xfId="0"/>
    <xf numFmtId="164" fontId="11" fillId="36" borderId="0" pivotButton="0" quotePrefix="0" xfId="0"/>
    <xf numFmtId="0" fontId="48" fillId="0" borderId="0" applyAlignment="1" pivotButton="0" quotePrefix="0" xfId="0">
      <alignment horizontal="center"/>
    </xf>
    <xf numFmtId="0" fontId="11" fillId="0" borderId="66" pivotButton="0" quotePrefix="0" xfId="0"/>
    <xf numFmtId="0" fontId="11" fillId="35" borderId="68" pivotButton="0" quotePrefix="0" xfId="0"/>
    <xf numFmtId="0" fontId="43" fillId="35" borderId="87" pivotButton="0" quotePrefix="0" xfId="0"/>
    <xf numFmtId="0" fontId="13" fillId="34" borderId="66" pivotButton="0" quotePrefix="0" xfId="0"/>
    <xf numFmtId="164" fontId="11" fillId="18" borderId="41" pivotButton="0" quotePrefix="0" xfId="0"/>
    <xf numFmtId="164" fontId="11" fillId="17" borderId="31" pivotButton="0" quotePrefix="0" xfId="0"/>
    <xf numFmtId="164" fontId="11" fillId="17" borderId="33" pivotButton="0" quotePrefix="0" xfId="0"/>
    <xf numFmtId="164" fontId="11" fillId="17" borderId="34" pivotButton="0" quotePrefix="0" xfId="0"/>
    <xf numFmtId="164" fontId="11" fillId="17" borderId="35" pivotButton="0" quotePrefix="0" xfId="0"/>
    <xf numFmtId="164" fontId="11" fillId="17" borderId="36" pivotButton="0" quotePrefix="0" xfId="0"/>
    <xf numFmtId="164" fontId="11" fillId="17" borderId="38" pivotButton="0" quotePrefix="0" xfId="0"/>
    <xf numFmtId="164" fontId="11" fillId="17" borderId="39" pivotButton="0" quotePrefix="0" xfId="0"/>
    <xf numFmtId="0" fontId="23" fillId="37" borderId="66" applyAlignment="1" pivotButton="0" quotePrefix="0" xfId="0">
      <alignment horizontal="left"/>
    </xf>
    <xf numFmtId="0" fontId="23" fillId="37" borderId="66" applyAlignment="1" pivotButton="0" quotePrefix="0" xfId="0">
      <alignment horizontal="center"/>
    </xf>
    <xf numFmtId="0" fontId="47" fillId="26" borderId="66" pivotButton="0" quotePrefix="0" xfId="0"/>
    <xf numFmtId="0" fontId="47" fillId="26" borderId="66" applyAlignment="1" pivotButton="0" quotePrefix="0" xfId="0">
      <alignment horizontal="center"/>
    </xf>
    <xf numFmtId="0" fontId="31" fillId="2" borderId="21" pivotButton="0" quotePrefix="0" xfId="1"/>
    <xf numFmtId="0" fontId="28" fillId="2" borderId="21" applyProtection="1" pivotButton="0" quotePrefix="0" xfId="1">
      <protection locked="0" hidden="0"/>
    </xf>
    <xf numFmtId="0" fontId="28" fillId="2" borderId="1" applyProtection="1" pivotButton="0" quotePrefix="0" xfId="1">
      <protection locked="0" hidden="0"/>
    </xf>
    <xf numFmtId="0" fontId="58" fillId="20" borderId="0" pivotButton="0" quotePrefix="0" xfId="0"/>
    <xf numFmtId="0" fontId="23" fillId="24" borderId="88" pivotButton="0" quotePrefix="0" xfId="5"/>
    <xf numFmtId="0" fontId="33" fillId="25" borderId="89" pivotButton="0" quotePrefix="0" xfId="0"/>
    <xf numFmtId="0" fontId="33" fillId="18" borderId="89" pivotButton="0" quotePrefix="0" xfId="0"/>
    <xf numFmtId="0" fontId="33" fillId="18" borderId="90" pivotButton="0" quotePrefix="0" xfId="0"/>
    <xf numFmtId="0" fontId="23" fillId="10" borderId="91" pivotButton="0" quotePrefix="0" xfId="4"/>
    <xf numFmtId="0" fontId="21" fillId="0" borderId="0" applyAlignment="1" pivotButton="0" quotePrefix="0" xfId="0">
      <alignment horizontal="center"/>
    </xf>
    <xf numFmtId="0" fontId="16" fillId="38" borderId="0" applyAlignment="1" pivotButton="0" quotePrefix="0" xfId="0">
      <alignment horizontal="center"/>
    </xf>
    <xf numFmtId="0" fontId="0" fillId="38" borderId="0" applyAlignment="1" pivotButton="0" quotePrefix="0" xfId="0">
      <alignment horizontal="center"/>
    </xf>
    <xf numFmtId="0" fontId="59" fillId="0" borderId="0" applyAlignment="1" pivotButton="0" quotePrefix="0" xfId="0">
      <alignment vertical="center"/>
    </xf>
    <xf numFmtId="0" fontId="0" fillId="0" borderId="0" applyAlignment="1" pivotButton="0" quotePrefix="0" xfId="0">
      <alignment horizontal="right"/>
    </xf>
    <xf numFmtId="0" fontId="52" fillId="0" borderId="0" applyAlignment="1" pivotButton="0" quotePrefix="0" xfId="0">
      <alignment horizontal="right"/>
    </xf>
    <xf numFmtId="0" fontId="11" fillId="0" borderId="0" applyAlignment="1" pivotButton="0" quotePrefix="0" xfId="0">
      <alignment horizontal="right"/>
    </xf>
    <xf numFmtId="0" fontId="11" fillId="0" borderId="0" applyAlignment="1" pivotButton="0" quotePrefix="0" xfId="10">
      <alignment horizontal="right"/>
    </xf>
    <xf numFmtId="0" fontId="20" fillId="0" borderId="66" pivotButton="0" quotePrefix="0" xfId="0"/>
    <xf numFmtId="0" fontId="61" fillId="0" borderId="0" pivotButton="0" quotePrefix="0" xfId="0"/>
    <xf numFmtId="0" fontId="61" fillId="40" borderId="92" pivotButton="0" quotePrefix="0" xfId="0"/>
    <xf numFmtId="0" fontId="61" fillId="40" borderId="92" applyAlignment="1" pivotButton="0" quotePrefix="0" xfId="0">
      <alignment horizontal="center" vertical="center" wrapText="1"/>
    </xf>
    <xf numFmtId="0" fontId="0" fillId="41" borderId="92" applyAlignment="1" pivotButton="0" quotePrefix="0" xfId="0">
      <alignment horizontal="center" vertical="center" wrapText="1"/>
    </xf>
    <xf numFmtId="0" fontId="0" fillId="42" borderId="92" applyAlignment="1" pivotButton="0" quotePrefix="0" xfId="0">
      <alignment horizontal="center" vertical="center" wrapText="1"/>
    </xf>
    <xf numFmtId="0" fontId="0" fillId="43" borderId="92" applyAlignment="1" pivotButton="0" quotePrefix="0" xfId="0">
      <alignment horizontal="center" vertical="center" wrapText="1"/>
    </xf>
    <xf numFmtId="0" fontId="0" fillId="0" borderId="92" pivotButton="0" quotePrefix="0" xfId="0"/>
    <xf numFmtId="0" fontId="0" fillId="43" borderId="92" pivotButton="0" quotePrefix="0" xfId="0"/>
    <xf numFmtId="0" fontId="63" fillId="0" borderId="0" pivotButton="0" quotePrefix="0" xfId="0"/>
    <xf numFmtId="0" fontId="0" fillId="41" borderId="92" pivotButton="0" quotePrefix="0" xfId="0"/>
    <xf numFmtId="165" fontId="63" fillId="0" borderId="0" pivotButton="0" quotePrefix="0" xfId="0"/>
    <xf numFmtId="0" fontId="61" fillId="0" borderId="92" pivotButton="0" quotePrefix="0" xfId="0"/>
    <xf numFmtId="165" fontId="0" fillId="0" borderId="92" pivotButton="0" quotePrefix="0" xfId="0"/>
    <xf numFmtId="166" fontId="11" fillId="0" borderId="0" pivotButton="0" quotePrefix="0" xfId="11"/>
    <xf numFmtId="165" fontId="0" fillId="0" borderId="0" pivotButton="0" quotePrefix="0" xfId="0"/>
    <xf numFmtId="167" fontId="0" fillId="0" borderId="0" pivotButton="0" quotePrefix="0" xfId="0"/>
    <xf numFmtId="165" fontId="56" fillId="4" borderId="74" pivotButton="0" quotePrefix="0" xfId="0"/>
    <xf numFmtId="165" fontId="56" fillId="4" borderId="66" pivotButton="0" quotePrefix="0" xfId="0"/>
    <xf numFmtId="168" fontId="0" fillId="0" borderId="0" pivotButton="0" quotePrefix="0" xfId="11"/>
    <xf numFmtId="168" fontId="5" fillId="8" borderId="22" pivotButton="0" quotePrefix="0" xfId="11"/>
    <xf numFmtId="168" fontId="7" fillId="0" borderId="0" pivotButton="0" quotePrefix="0" xfId="11"/>
    <xf numFmtId="165" fontId="7" fillId="0" borderId="0" pivotButton="0" quotePrefix="0" xfId="0"/>
    <xf numFmtId="0" fontId="62" fillId="39" borderId="92" pivotButton="0" quotePrefix="0" xfId="0"/>
    <xf numFmtId="0" fontId="0" fillId="41" borderId="92" applyAlignment="1" pivotButton="0" quotePrefix="0" xfId="0">
      <alignment horizontal="center"/>
    </xf>
    <xf numFmtId="0" fontId="0" fillId="42" borderId="92" applyAlignment="1" pivotButton="0" quotePrefix="0" xfId="0">
      <alignment horizontal="center"/>
    </xf>
    <xf numFmtId="0" fontId="0" fillId="43" borderId="92" applyAlignment="1" pivotButton="0" quotePrefix="0" xfId="0">
      <alignment horizontal="center"/>
    </xf>
    <xf numFmtId="0" fontId="67" fillId="0" borderId="0" pivotButton="0" quotePrefix="0" xfId="0"/>
    <xf numFmtId="0" fontId="0" fillId="0" borderId="0" pivotButton="0" quotePrefix="0" xfId="0"/>
    <xf numFmtId="0" fontId="16" fillId="0" borderId="0" pivotButton="0" quotePrefix="0" xfId="0"/>
    <xf numFmtId="46" fontId="0" fillId="0" borderId="0" pivotButton="0" quotePrefix="0" xfId="0"/>
    <xf numFmtId="0" fontId="16" fillId="0" borderId="0" applyAlignment="1" pivotButton="0" quotePrefix="0" xfId="0">
      <alignment horizontal="left" vertical="top" wrapText="1"/>
    </xf>
    <xf numFmtId="0" fontId="33" fillId="23" borderId="66" applyAlignment="1" pivotButton="0" quotePrefix="0" xfId="0">
      <alignment horizontal="center" vertical="center" wrapText="1"/>
    </xf>
    <xf numFmtId="0" fontId="0" fillId="23" borderId="66" applyAlignment="1" pivotButton="0" quotePrefix="0" xfId="0">
      <alignment horizontal="center" vertical="center" wrapText="1"/>
    </xf>
    <xf numFmtId="0" fontId="70" fillId="23" borderId="66" applyAlignment="1" pivotButton="0" quotePrefix="0" xfId="0">
      <alignment horizontal="center" vertical="center" wrapText="1"/>
    </xf>
    <xf numFmtId="9" fontId="0" fillId="23" borderId="66" applyAlignment="1" pivotButton="0" quotePrefix="0" xfId="0">
      <alignment horizontal="center" vertical="center" wrapText="1"/>
    </xf>
    <xf numFmtId="0" fontId="33" fillId="4" borderId="66" applyAlignment="1" pivotButton="0" quotePrefix="0" xfId="0">
      <alignment horizontal="center" vertical="center" wrapText="1"/>
    </xf>
    <xf numFmtId="0" fontId="0" fillId="4" borderId="66" applyAlignment="1" pivotButton="0" quotePrefix="0" xfId="0">
      <alignment horizontal="center" vertical="center" wrapText="1"/>
    </xf>
    <xf numFmtId="0" fontId="70" fillId="4" borderId="66" applyAlignment="1" pivotButton="0" quotePrefix="0" xfId="0">
      <alignment horizontal="center" vertical="center" wrapText="1"/>
    </xf>
    <xf numFmtId="0" fontId="33" fillId="37" borderId="66" applyAlignment="1" pivotButton="0" quotePrefix="0" xfId="0">
      <alignment horizontal="center" vertical="center" wrapText="1"/>
    </xf>
    <xf numFmtId="0" fontId="0" fillId="37" borderId="66" applyAlignment="1" pivotButton="0" quotePrefix="0" xfId="0">
      <alignment horizontal="center" vertical="center" wrapText="1"/>
    </xf>
    <xf numFmtId="0" fontId="70" fillId="37" borderId="66" applyAlignment="1" pivotButton="0" quotePrefix="0" xfId="0">
      <alignment horizontal="center" vertical="center" wrapText="1"/>
    </xf>
    <xf numFmtId="0" fontId="33" fillId="0" borderId="66" applyAlignment="1" pivotButton="0" quotePrefix="0" xfId="0">
      <alignment horizontal="center" vertical="center" wrapText="1"/>
    </xf>
    <xf numFmtId="0" fontId="0" fillId="0" borderId="66" applyAlignment="1" pivotButton="0" quotePrefix="0" xfId="0">
      <alignment horizontal="center" vertical="center" wrapText="1"/>
    </xf>
    <xf numFmtId="0" fontId="70" fillId="0" borderId="66" applyAlignment="1" pivotButton="0" quotePrefix="0" xfId="0">
      <alignment horizontal="center" vertical="center" wrapText="1"/>
    </xf>
    <xf numFmtId="0" fontId="16" fillId="0" borderId="66" applyAlignment="1" pivotButton="0" quotePrefix="0" xfId="0">
      <alignment horizontal="center" vertical="center" wrapText="1"/>
    </xf>
    <xf numFmtId="0" fontId="16" fillId="23" borderId="66" applyAlignment="1" pivotButton="0" quotePrefix="0" xfId="0">
      <alignment horizontal="center" vertical="center" wrapText="1"/>
    </xf>
    <xf numFmtId="0" fontId="16" fillId="4" borderId="66" applyAlignment="1" pivotButton="0" quotePrefix="0" xfId="0">
      <alignment horizontal="center" vertical="center" wrapText="1"/>
    </xf>
    <xf numFmtId="0" fontId="0" fillId="4" borderId="66" applyAlignment="1" pivotButton="0" quotePrefix="0" xfId="0">
      <alignment vertical="center" wrapText="1"/>
    </xf>
    <xf numFmtId="0" fontId="16" fillId="37" borderId="66" applyAlignment="1" pivotButton="0" quotePrefix="0" xfId="0">
      <alignment horizontal="center" vertical="center" wrapText="1"/>
    </xf>
    <xf numFmtId="0" fontId="0" fillId="4" borderId="66" applyAlignment="1" pivotButton="0" quotePrefix="0" xfId="0">
      <alignment vertical="center"/>
    </xf>
    <xf numFmtId="0" fontId="0" fillId="19" borderId="66" applyAlignment="1" pivotButton="0" quotePrefix="0" xfId="0">
      <alignment horizontal="center" vertical="center" wrapText="1"/>
    </xf>
    <xf numFmtId="0" fontId="0" fillId="0" borderId="66" applyAlignment="1" pivotButton="0" quotePrefix="0" xfId="0">
      <alignment horizontal="center" vertical="center" wrapText="1"/>
    </xf>
    <xf numFmtId="0" fontId="16" fillId="0" borderId="66" applyAlignment="1" pivotButton="0" quotePrefix="0" xfId="0">
      <alignment horizontal="center" vertical="center" wrapText="1"/>
    </xf>
    <xf numFmtId="0" fontId="0" fillId="0" borderId="67" applyAlignment="1" pivotButton="0" quotePrefix="0" xfId="0">
      <alignment horizontal="center" vertical="center" wrapText="1"/>
    </xf>
    <xf numFmtId="0" fontId="0" fillId="0" borderId="66" pivotButton="0" quotePrefix="0" xfId="0"/>
    <xf numFmtId="0" fontId="16" fillId="0" borderId="66" pivotButton="0" quotePrefix="0" xfId="0"/>
    <xf numFmtId="0" fontId="16" fillId="0" borderId="66" applyAlignment="1" pivotButton="0" quotePrefix="0" xfId="0">
      <alignment horizontal="center" vertical="center"/>
    </xf>
    <xf numFmtId="0" fontId="0" fillId="0" borderId="66" applyAlignment="1" pivotButton="0" quotePrefix="0" xfId="0">
      <alignment horizontal="center" vertical="center"/>
    </xf>
    <xf numFmtId="0" fontId="0" fillId="0" borderId="96" pivotButton="0" quotePrefix="0" xfId="0"/>
    <xf numFmtId="0" fontId="0" fillId="0" borderId="99" pivotButton="0" quotePrefix="0" xfId="0"/>
    <xf numFmtId="0" fontId="0" fillId="0" borderId="101" pivotButton="0" quotePrefix="0" xfId="0"/>
    <xf numFmtId="0" fontId="0" fillId="0" borderId="102" pivotButton="0" quotePrefix="0" xfId="0"/>
    <xf numFmtId="0" fontId="0" fillId="0" borderId="95" pivotButton="0" quotePrefix="0" xfId="0"/>
    <xf numFmtId="0" fontId="0" fillId="0" borderId="97" pivotButton="0" quotePrefix="0" xfId="0"/>
    <xf numFmtId="0" fontId="0" fillId="0" borderId="98" pivotButton="0" quotePrefix="0" xfId="0"/>
    <xf numFmtId="0" fontId="0" fillId="0" borderId="100" pivotButton="0" quotePrefix="0" xfId="0"/>
    <xf numFmtId="0" fontId="0" fillId="0" borderId="66" applyAlignment="1" pivotButton="0" quotePrefix="0" xfId="0">
      <alignment horizontal="center" vertical="center" wrapText="1"/>
    </xf>
    <xf numFmtId="0" fontId="16" fillId="19" borderId="66" applyAlignment="1" pivotButton="0" quotePrefix="0" xfId="0">
      <alignment horizontal="center" vertical="center" wrapText="1"/>
    </xf>
    <xf numFmtId="0" fontId="16" fillId="18" borderId="66" applyAlignment="1" pivotButton="0" quotePrefix="0" xfId="0">
      <alignment horizontal="center" vertical="center" wrapText="1"/>
    </xf>
    <xf numFmtId="0" fontId="16" fillId="45" borderId="66" applyAlignment="1" pivotButton="0" quotePrefix="0" xfId="0">
      <alignment horizontal="center" vertical="center" wrapText="1"/>
    </xf>
    <xf numFmtId="0" fontId="0" fillId="18" borderId="66" applyAlignment="1" pivotButton="0" quotePrefix="0" xfId="0">
      <alignment horizontal="center" vertical="center" wrapText="1"/>
    </xf>
    <xf numFmtId="0" fontId="0" fillId="35" borderId="66" applyAlignment="1" pivotButton="0" quotePrefix="0" xfId="0">
      <alignment horizontal="center" vertical="center" wrapText="1"/>
    </xf>
    <xf numFmtId="0" fontId="16" fillId="35" borderId="66" applyAlignment="1" pivotButton="0" quotePrefix="0" xfId="0">
      <alignment horizontal="center" vertical="center" wrapText="1"/>
    </xf>
    <xf numFmtId="0" fontId="0" fillId="45" borderId="66" applyAlignment="1" pivotButton="0" quotePrefix="0" xfId="0">
      <alignment horizontal="center" vertical="center" wrapText="1"/>
    </xf>
    <xf numFmtId="0" fontId="65" fillId="19" borderId="66" applyAlignment="1" pivotButton="0" quotePrefix="0" xfId="0">
      <alignment horizontal="center" vertical="center" wrapText="1"/>
    </xf>
    <xf numFmtId="0" fontId="16" fillId="0" borderId="104" applyAlignment="1" pivotButton="0" quotePrefix="0" xfId="0">
      <alignment vertical="center"/>
    </xf>
    <xf numFmtId="0" fontId="16" fillId="0" borderId="105" pivotButton="0" quotePrefix="0" xfId="0"/>
    <xf numFmtId="0" fontId="76" fillId="0" borderId="0" applyAlignment="1" pivotButton="0" quotePrefix="0" xfId="0">
      <alignment vertical="center"/>
    </xf>
    <xf numFmtId="0" fontId="76" fillId="0" borderId="64" pivotButton="0" quotePrefix="0" xfId="0"/>
    <xf numFmtId="0" fontId="77" fillId="0" borderId="0" applyAlignment="1" pivotButton="0" quotePrefix="0" xfId="0">
      <alignment vertical="center"/>
    </xf>
    <xf numFmtId="0" fontId="77" fillId="0" borderId="64" pivotButton="0" quotePrefix="0" xfId="0"/>
    <xf numFmtId="0" fontId="7" fillId="0" borderId="0" applyAlignment="1" pivotButton="0" quotePrefix="0" xfId="0">
      <alignment vertical="center"/>
    </xf>
    <xf numFmtId="0" fontId="7" fillId="0" borderId="64" pivotButton="0" quotePrefix="0" xfId="0"/>
    <xf numFmtId="0" fontId="78" fillId="0" borderId="108" applyAlignment="1" pivotButton="0" quotePrefix="0" xfId="0">
      <alignment vertical="center"/>
    </xf>
    <xf numFmtId="0" fontId="78" fillId="0" borderId="109" pivotButton="0" quotePrefix="0" xfId="0"/>
    <xf numFmtId="0" fontId="16" fillId="0" borderId="110" applyAlignment="1" pivotButton="0" quotePrefix="0" xfId="0">
      <alignment horizontal="left" vertical="top" wrapText="1"/>
    </xf>
    <xf numFmtId="0" fontId="16" fillId="0" borderId="110" pivotButton="0" quotePrefix="0" xfId="0"/>
    <xf numFmtId="0" fontId="76" fillId="0" borderId="111" pivotButton="0" quotePrefix="0" xfId="0"/>
    <xf numFmtId="0" fontId="77" fillId="0" borderId="111" pivotButton="0" quotePrefix="0" xfId="0"/>
    <xf numFmtId="0" fontId="7" fillId="0" borderId="111" pivotButton="0" quotePrefix="0" xfId="0"/>
    <xf numFmtId="0" fontId="78" fillId="0" borderId="112" pivotButton="0" quotePrefix="0" xfId="0"/>
    <xf numFmtId="0" fontId="16" fillId="0" borderId="103" pivotButton="0" quotePrefix="0" xfId="0"/>
    <xf numFmtId="0" fontId="76" fillId="0" borderId="106" pivotButton="0" quotePrefix="0" xfId="0"/>
    <xf numFmtId="0" fontId="77" fillId="0" borderId="106" pivotButton="0" quotePrefix="0" xfId="0"/>
    <xf numFmtId="0" fontId="7" fillId="0" borderId="106" pivotButton="0" quotePrefix="0" xfId="0"/>
    <xf numFmtId="0" fontId="78" fillId="0" borderId="107" pivotButton="0" quotePrefix="0" xfId="0"/>
    <xf numFmtId="0" fontId="16" fillId="0" borderId="103" applyAlignment="1" pivotButton="0" quotePrefix="0" xfId="0">
      <alignment horizontal="left" vertical="top" wrapText="1"/>
    </xf>
    <xf numFmtId="0" fontId="16" fillId="0" borderId="105" applyAlignment="1" pivotButton="0" quotePrefix="0" xfId="0">
      <alignment horizontal="left" vertical="top" wrapText="1"/>
    </xf>
    <xf numFmtId="0" fontId="0" fillId="0" borderId="0" pivotButton="0" quotePrefix="0" xfId="0"/>
    <xf numFmtId="0" fontId="0" fillId="0" borderId="94" pivotButton="0" quotePrefix="0" xfId="0"/>
    <xf numFmtId="0" fontId="0" fillId="0" borderId="68" pivotButton="0" quotePrefix="0" xfId="0"/>
    <xf numFmtId="0" fontId="0" fillId="0" borderId="0" pivotButton="0" quotePrefix="0" xfId="0"/>
    <xf numFmtId="0" fontId="0" fillId="0" borderId="114" pivotButton="0" quotePrefix="0" xfId="0"/>
    <xf numFmtId="0" fontId="0" fillId="0" borderId="0" pivotButton="0" quotePrefix="0" xfId="0"/>
    <xf numFmtId="0" fontId="0" fillId="0" borderId="115" pivotButton="0" quotePrefix="0" xfId="0"/>
    <xf numFmtId="0" fontId="0" fillId="0" borderId="116" pivotButton="0" quotePrefix="0" xfId="0"/>
    <xf numFmtId="0" fontId="62" fillId="39" borderId="113" pivotButton="0" quotePrefix="0" xfId="0"/>
    <xf numFmtId="0" fontId="68" fillId="39" borderId="113" pivotButton="0" quotePrefix="0" xfId="0"/>
    <xf numFmtId="0" fontId="61" fillId="40" borderId="117" pivotButton="0" quotePrefix="0" xfId="0"/>
    <xf numFmtId="0" fontId="61" fillId="40" borderId="118" pivotButton="0" quotePrefix="0" xfId="0"/>
    <xf numFmtId="0" fontId="61" fillId="40" borderId="119" pivotButton="0" quotePrefix="0" xfId="0"/>
    <xf numFmtId="0" fontId="0" fillId="43" borderId="120" pivotButton="0" quotePrefix="0" xfId="0"/>
    <xf numFmtId="0" fontId="63" fillId="46" borderId="107" pivotButton="0" quotePrefix="0" xfId="0"/>
    <xf numFmtId="0" fontId="0" fillId="46" borderId="121" pivotButton="0" quotePrefix="0" xfId="0"/>
    <xf numFmtId="0" fontId="0" fillId="46" borderId="109" pivotButton="0" quotePrefix="0" xfId="0"/>
    <xf numFmtId="0" fontId="0" fillId="0" borderId="105" pivotButton="0" quotePrefix="0" xfId="0"/>
    <xf numFmtId="0" fontId="0" fillId="0" borderId="106" pivotButton="0" quotePrefix="0" xfId="0"/>
    <xf numFmtId="0" fontId="0" fillId="0" borderId="64" pivotButton="0" quotePrefix="0" xfId="0"/>
    <xf numFmtId="0" fontId="0" fillId="47" borderId="107" pivotButton="0" quotePrefix="0" xfId="0"/>
    <xf numFmtId="0" fontId="0" fillId="47" borderId="108" pivotButton="0" quotePrefix="0" xfId="0"/>
    <xf numFmtId="165" fontId="63" fillId="47" borderId="109" pivotButton="0" quotePrefix="0" xfId="0"/>
    <xf numFmtId="0" fontId="61" fillId="40" borderId="122" pivotButton="0" quotePrefix="0" xfId="0"/>
    <xf numFmtId="0" fontId="61" fillId="40" borderId="119" applyAlignment="1" pivotButton="0" quotePrefix="0" xfId="0">
      <alignment horizontal="center" vertical="center" wrapText="1"/>
    </xf>
    <xf numFmtId="0" fontId="0" fillId="42" borderId="120" applyAlignment="1" pivotButton="0" quotePrefix="0" xfId="0">
      <alignment horizontal="center" vertical="center" wrapText="1"/>
    </xf>
    <xf numFmtId="0" fontId="61" fillId="40" borderId="123" applyAlignment="1" pivotButton="0" quotePrefix="0" xfId="0">
      <alignment horizontal="center" vertical="center" wrapText="1"/>
    </xf>
    <xf numFmtId="0" fontId="0" fillId="43" borderId="121" applyAlignment="1" pivotButton="0" quotePrefix="0" xfId="0">
      <alignment horizontal="center" vertical="center" wrapText="1"/>
    </xf>
    <xf numFmtId="0" fontId="0" fillId="41" borderId="124" applyAlignment="1" pivotButton="0" quotePrefix="0" xfId="0">
      <alignment horizontal="center" vertical="center" wrapText="1"/>
    </xf>
    <xf numFmtId="0" fontId="61" fillId="0" borderId="119" pivotButton="0" quotePrefix="0" xfId="0"/>
    <xf numFmtId="165" fontId="0" fillId="0" borderId="120" pivotButton="0" quotePrefix="0" xfId="0"/>
    <xf numFmtId="0" fontId="0" fillId="0" borderId="120" pivotButton="0" quotePrefix="0" xfId="0"/>
    <xf numFmtId="0" fontId="61" fillId="0" borderId="123" pivotButton="0" quotePrefix="0" xfId="0"/>
    <xf numFmtId="0" fontId="0" fillId="0" borderId="108" pivotButton="0" quotePrefix="0" xfId="0"/>
    <xf numFmtId="0" fontId="0" fillId="0" borderId="124" pivotButton="0" quotePrefix="0" xfId="0"/>
    <xf numFmtId="0" fontId="61" fillId="0" borderId="122" pivotButton="0" quotePrefix="0" xfId="0"/>
    <xf numFmtId="0" fontId="0" fillId="0" borderId="104" pivotButton="0" quotePrefix="0" xfId="0"/>
    <xf numFmtId="165" fontId="0" fillId="0" borderId="118" pivotButton="0" quotePrefix="0" xfId="0"/>
    <xf numFmtId="0" fontId="61" fillId="40" borderId="122" applyAlignment="1" pivotButton="0" quotePrefix="0" xfId="0">
      <alignment horizontal="center" vertical="center" wrapText="1"/>
    </xf>
    <xf numFmtId="0" fontId="61" fillId="40" borderId="117" applyAlignment="1" pivotButton="0" quotePrefix="0" xfId="0">
      <alignment horizontal="center" vertical="center" wrapText="1"/>
    </xf>
    <xf numFmtId="0" fontId="61" fillId="40" borderId="118" applyAlignment="1" pivotButton="0" quotePrefix="0" xfId="0">
      <alignment horizontal="center" vertical="center" wrapText="1"/>
    </xf>
    <xf numFmtId="0" fontId="61" fillId="40" borderId="119" applyAlignment="1" pivotButton="0" quotePrefix="0" xfId="0">
      <alignment wrapText="1"/>
    </xf>
    <xf numFmtId="0" fontId="0" fillId="42" borderId="120" applyAlignment="1" pivotButton="0" quotePrefix="0" xfId="0">
      <alignment horizontal="center"/>
    </xf>
    <xf numFmtId="0" fontId="61" fillId="40" borderId="123" applyAlignment="1" pivotButton="0" quotePrefix="0" xfId="0">
      <alignment wrapText="1"/>
    </xf>
    <xf numFmtId="0" fontId="0" fillId="43" borderId="121" applyAlignment="1" pivotButton="0" quotePrefix="0" xfId="0">
      <alignment horizontal="center"/>
    </xf>
    <xf numFmtId="0" fontId="0" fillId="41" borderId="124" applyAlignment="1" pivotButton="0" quotePrefix="0" xfId="0">
      <alignment horizontal="center"/>
    </xf>
    <xf numFmtId="0" fontId="0" fillId="0" borderId="103" pivotButton="0" quotePrefix="0" xfId="0"/>
    <xf numFmtId="0" fontId="61" fillId="40" borderId="117" applyAlignment="1" pivotButton="0" quotePrefix="0" xfId="0">
      <alignment horizontal="center" wrapText="1"/>
    </xf>
    <xf numFmtId="0" fontId="61" fillId="40" borderId="118" applyAlignment="1" pivotButton="0" quotePrefix="0" xfId="0">
      <alignment horizontal="center" wrapText="1"/>
    </xf>
    <xf numFmtId="0" fontId="63" fillId="0" borderId="107" pivotButton="0" quotePrefix="0" xfId="0"/>
    <xf numFmtId="0" fontId="0" fillId="41" borderId="121" pivotButton="0" quotePrefix="0" xfId="0"/>
    <xf numFmtId="0" fontId="0" fillId="0" borderId="109" pivotButton="0" quotePrefix="0" xfId="0"/>
    <xf numFmtId="0" fontId="61" fillId="40" borderId="125" applyAlignment="1" pivotButton="0" quotePrefix="0" xfId="0">
      <alignment horizontal="center" vertical="center" wrapText="1"/>
    </xf>
    <xf numFmtId="0" fontId="61" fillId="40" borderId="126" applyAlignment="1" pivotButton="0" quotePrefix="0" xfId="0">
      <alignment horizontal="center" vertical="center" wrapText="1"/>
    </xf>
    <xf numFmtId="0" fontId="61" fillId="40" borderId="122" applyAlignment="1" pivotButton="0" quotePrefix="0" xfId="0">
      <alignment wrapText="1"/>
    </xf>
    <xf numFmtId="0" fontId="0" fillId="41" borderId="117" applyAlignment="1" pivotButton="0" quotePrefix="0" xfId="0">
      <alignment horizontal="center"/>
    </xf>
    <xf numFmtId="0" fontId="0" fillId="42" borderId="117" applyAlignment="1" pivotButton="0" quotePrefix="0" xfId="0">
      <alignment horizontal="center"/>
    </xf>
    <xf numFmtId="0" fontId="0" fillId="42" borderId="118" applyAlignment="1" pivotButton="0" quotePrefix="0" xfId="0">
      <alignment horizontal="center"/>
    </xf>
    <xf numFmtId="0" fontId="61" fillId="40" borderId="122" applyAlignment="1" pivotButton="0" quotePrefix="0" xfId="0">
      <alignment horizontal="center" wrapText="1"/>
    </xf>
    <xf numFmtId="0" fontId="63" fillId="0" borderId="106" pivotButton="0" quotePrefix="0" xfId="0"/>
    <xf numFmtId="0" fontId="0" fillId="0" borderId="118" pivotButton="0" quotePrefix="0" xfId="0"/>
    <xf numFmtId="165" fontId="63" fillId="47" borderId="112" pivotButton="0" quotePrefix="0" xfId="0"/>
    <xf numFmtId="0" fontId="62" fillId="39" borderId="0" pivotButton="0" quotePrefix="0" xfId="0"/>
    <xf numFmtId="0" fontId="61" fillId="40" borderId="113" applyAlignment="1" pivotButton="0" quotePrefix="0" xfId="0">
      <alignment horizontal="center" vertical="center" wrapText="1"/>
    </xf>
    <xf numFmtId="0" fontId="61" fillId="40" borderId="127" applyAlignment="1" pivotButton="0" quotePrefix="0" xfId="0">
      <alignment horizontal="center" vertical="center" wrapText="1"/>
    </xf>
    <xf numFmtId="0" fontId="61" fillId="40" borderId="128" applyAlignment="1" pivotButton="0" quotePrefix="0" xfId="0">
      <alignment horizontal="center" vertical="center" wrapText="1"/>
    </xf>
    <xf numFmtId="0" fontId="62" fillId="39" borderId="105" pivotButton="0" quotePrefix="0" xfId="0"/>
    <xf numFmtId="165" fontId="63" fillId="47" borderId="108" pivotButton="0" quotePrefix="0" xfId="0"/>
    <xf numFmtId="165" fontId="63" fillId="47" borderId="107" pivotButton="0" quotePrefix="0" xfId="0"/>
    <xf numFmtId="0" fontId="67" fillId="40" borderId="119" applyAlignment="1" pivotButton="0" quotePrefix="0" xfId="0">
      <alignment wrapText="1"/>
    </xf>
    <xf numFmtId="0" fontId="67" fillId="40" borderId="123" applyAlignment="1" pivotButton="0" quotePrefix="0" xfId="0">
      <alignment wrapText="1"/>
    </xf>
    <xf numFmtId="0" fontId="67" fillId="40" borderId="122" applyAlignment="1" pivotButton="0" quotePrefix="0" xfId="0">
      <alignment horizontal="center" vertical="center" wrapText="1"/>
    </xf>
    <xf numFmtId="0" fontId="67" fillId="40" borderId="117" applyAlignment="1" pivotButton="0" quotePrefix="0" xfId="0">
      <alignment horizontal="center" vertical="center" wrapText="1"/>
    </xf>
    <xf numFmtId="0" fontId="67" fillId="40" borderId="118" applyAlignment="1" pivotButton="0" quotePrefix="0" xfId="0">
      <alignment horizontal="center" vertical="center" wrapText="1"/>
    </xf>
    <xf numFmtId="0" fontId="67" fillId="40" borderId="117" applyAlignment="1" pivotButton="0" quotePrefix="0" xfId="0">
      <alignment horizontal="center" wrapText="1"/>
    </xf>
    <xf numFmtId="0" fontId="67" fillId="40" borderId="118" applyAlignment="1" pivotButton="0" quotePrefix="0" xfId="0">
      <alignment horizontal="center" wrapText="1"/>
    </xf>
    <xf numFmtId="0" fontId="69" fillId="0" borderId="106" pivotButton="0" quotePrefix="0" xfId="0"/>
    <xf numFmtId="0" fontId="68" fillId="39" borderId="105" pivotButton="0" quotePrefix="0" xfId="0"/>
    <xf numFmtId="0" fontId="67" fillId="0" borderId="122" pivotButton="0" quotePrefix="0" xfId="0"/>
    <xf numFmtId="0" fontId="67" fillId="0" borderId="119" pivotButton="0" quotePrefix="0" xfId="0"/>
    <xf numFmtId="0" fontId="67" fillId="0" borderId="123" pivotButton="0" quotePrefix="0" xfId="0"/>
    <xf numFmtId="0" fontId="61" fillId="0" borderId="0" applyAlignment="1" pivotButton="0" quotePrefix="0" xfId="0">
      <alignment vertical="center"/>
    </xf>
    <xf numFmtId="0" fontId="0" fillId="0" borderId="0" applyAlignment="1" pivotButton="0" quotePrefix="0" xfId="0">
      <alignment vertical="center"/>
    </xf>
    <xf numFmtId="0" fontId="62" fillId="39" borderId="103" pivotButton="0" quotePrefix="0" xfId="0"/>
    <xf numFmtId="0" fontId="0" fillId="0" borderId="104" pivotButton="0" quotePrefix="0" xfId="0"/>
    <xf numFmtId="0" fontId="62" fillId="39" borderId="129" pivotButton="0" quotePrefix="0" xfId="0"/>
    <xf numFmtId="0" fontId="61" fillId="0" borderId="130" pivotButton="0" quotePrefix="0" xfId="0"/>
    <xf numFmtId="0" fontId="0" fillId="0" borderId="126" pivotButton="0" quotePrefix="0" xfId="0"/>
    <xf numFmtId="0" fontId="67" fillId="40" borderId="122" applyAlignment="1" pivotButton="0" quotePrefix="0" xfId="0">
      <alignment horizontal="center" wrapText="1"/>
    </xf>
    <xf numFmtId="0" fontId="60" fillId="39" borderId="0" pivotButton="0" quotePrefix="0" xfId="0"/>
    <xf numFmtId="0" fontId="0" fillId="0" borderId="0" pivotButton="0" quotePrefix="0" xfId="0"/>
    <xf numFmtId="0" fontId="0" fillId="0" borderId="0" applyAlignment="1" pivotButton="0" quotePrefix="0" xfId="0">
      <alignment wrapText="1"/>
    </xf>
    <xf numFmtId="0" fontId="0" fillId="0" borderId="92" applyAlignment="1" pivotButton="0" quotePrefix="0" xfId="0">
      <alignment vertical="top" wrapText="1"/>
    </xf>
    <xf numFmtId="0" fontId="0" fillId="0" borderId="93" pivotButton="0" quotePrefix="0" xfId="0"/>
    <xf numFmtId="0" fontId="0" fillId="0" borderId="94" pivotButton="0" quotePrefix="0" xfId="0"/>
    <xf numFmtId="0" fontId="56" fillId="4" borderId="66" applyAlignment="1" pivotButton="0" quotePrefix="0" xfId="0">
      <alignment horizontal="center"/>
    </xf>
    <xf numFmtId="0" fontId="0" fillId="0" borderId="68" pivotButton="0" quotePrefix="0" xfId="0"/>
    <xf numFmtId="0" fontId="62" fillId="39" borderId="0" pivotButton="0" quotePrefix="0" xfId="0"/>
    <xf numFmtId="0" fontId="0" fillId="44" borderId="0" applyAlignment="1" pivotButton="0" quotePrefix="0" xfId="0">
      <alignment wrapText="1"/>
    </xf>
    <xf numFmtId="0" fontId="0" fillId="42" borderId="0" applyAlignment="1" pivotButton="0" quotePrefix="0" xfId="0">
      <alignment vertical="top" wrapText="1"/>
    </xf>
    <xf numFmtId="0" fontId="64" fillId="39" borderId="0" pivotButton="0" quotePrefix="0" xfId="0"/>
    <xf numFmtId="0" fontId="62" fillId="39" borderId="103" pivotButton="0" quotePrefix="0" xfId="0"/>
    <xf numFmtId="0" fontId="0" fillId="0" borderId="104" pivotButton="0" quotePrefix="0" xfId="0"/>
    <xf numFmtId="0" fontId="0" fillId="0" borderId="105" pivotButton="0" quotePrefix="0" xfId="0"/>
    <xf numFmtId="0" fontId="62" fillId="39" borderId="104" pivotButton="0" quotePrefix="0" xfId="0"/>
    <xf numFmtId="0" fontId="68" fillId="39" borderId="103" pivotButton="0" quotePrefix="0" xfId="0"/>
    <xf numFmtId="0" fontId="66" fillId="39" borderId="0" pivotButton="0" quotePrefix="0" xfId="0"/>
    <xf numFmtId="0" fontId="16" fillId="0" borderId="66" applyAlignment="1" pivotButton="0" quotePrefix="0" xfId="0">
      <alignment horizontal="center" vertical="center" wrapText="1"/>
    </xf>
    <xf numFmtId="0" fontId="0" fillId="0" borderId="66" applyAlignment="1" pivotButton="0" quotePrefix="0" xfId="0">
      <alignment horizontal="center" vertical="center" wrapText="1"/>
    </xf>
    <xf numFmtId="0" fontId="16" fillId="0" borderId="87" applyAlignment="1" pivotButton="0" quotePrefix="0" xfId="0">
      <alignment horizontal="center" vertical="center" wrapText="1"/>
    </xf>
    <xf numFmtId="0" fontId="16" fillId="0" borderId="67" applyAlignment="1" pivotButton="0" quotePrefix="0" xfId="0">
      <alignment horizontal="center" vertical="center" wrapText="1"/>
    </xf>
    <xf numFmtId="0" fontId="0" fillId="0" borderId="67" applyAlignment="1" pivotButton="0" quotePrefix="0" xfId="0">
      <alignment horizontal="center" vertical="center" wrapText="1"/>
    </xf>
    <xf numFmtId="0" fontId="0" fillId="0" borderId="68" applyAlignment="1" pivotButton="0" quotePrefix="0" xfId="0">
      <alignment horizontal="center" vertical="center" wrapText="1"/>
    </xf>
    <xf numFmtId="0" fontId="0" fillId="0" borderId="103" applyAlignment="1" pivotButton="0" quotePrefix="0" xfId="0">
      <alignment vertical="center" wrapText="1"/>
    </xf>
    <xf numFmtId="0" fontId="0" fillId="0" borderId="106" applyAlignment="1" pivotButton="0" quotePrefix="0" xfId="0">
      <alignment vertical="center" wrapText="1"/>
    </xf>
    <xf numFmtId="0" fontId="0" fillId="0" borderId="107" applyAlignment="1" pivotButton="0" quotePrefix="0" xfId="0">
      <alignment vertical="center" wrapText="1"/>
    </xf>
    <xf numFmtId="0" fontId="0" fillId="0" borderId="0" pivotButton="0" quotePrefix="0" xfId="0"/>
    <xf numFmtId="165" fontId="63" fillId="0" borderId="0" pivotButton="0" quotePrefix="0" xfId="0"/>
    <xf numFmtId="165" fontId="0" fillId="0" borderId="92" pivotButton="0" quotePrefix="0" xfId="0"/>
    <xf numFmtId="0" fontId="62" fillId="39" borderId="110" pivotButton="0" quotePrefix="0" xfId="0"/>
    <xf numFmtId="165" fontId="63" fillId="47" borderId="109" pivotButton="0" quotePrefix="0" xfId="0"/>
    <xf numFmtId="165" fontId="0" fillId="0" borderId="118" pivotButton="0" quotePrefix="0" xfId="0"/>
    <xf numFmtId="165" fontId="0" fillId="0" borderId="120" pivotButton="0" quotePrefix="0" xfId="0"/>
    <xf numFmtId="165" fontId="63" fillId="47" borderId="112" pivotButton="0" quotePrefix="0" xfId="0"/>
    <xf numFmtId="165" fontId="63" fillId="47" borderId="107" pivotButton="0" quotePrefix="0" xfId="0"/>
    <xf numFmtId="165" fontId="63" fillId="47" borderId="108" pivotButton="0" quotePrefix="0" xfId="0"/>
    <xf numFmtId="0" fontId="68" fillId="39" borderId="110" pivotButton="0" quotePrefix="0" xfId="0"/>
    <xf numFmtId="0" fontId="0" fillId="0" borderId="67" pivotButton="0" quotePrefix="0" xfId="0"/>
    <xf numFmtId="0" fontId="16" fillId="0" borderId="134" applyAlignment="1" pivotButton="0" quotePrefix="0" xfId="0">
      <alignment horizontal="center" vertical="center" wrapText="1"/>
    </xf>
    <xf numFmtId="0" fontId="0" fillId="0" borderId="136" pivotButton="0" quotePrefix="0" xfId="0"/>
    <xf numFmtId="0" fontId="0" fillId="0" borderId="137" pivotButton="0" quotePrefix="0" xfId="0"/>
    <xf numFmtId="0" fontId="0" fillId="0" borderId="138" applyAlignment="1" pivotButton="0" quotePrefix="0" xfId="0">
      <alignment vertical="center" wrapText="1"/>
    </xf>
    <xf numFmtId="0" fontId="0" fillId="0" borderId="107" pivotButton="0" quotePrefix="0" xfId="0"/>
  </cellXfs>
  <cellStyles count="12">
    <cellStyle name="Normal" xfId="0" builtinId="0"/>
    <cellStyle name="Giriş" xfId="1" builtinId="20"/>
    <cellStyle name="Çıkış" xfId="2" builtinId="21"/>
    <cellStyle name="Vurgu2" xfId="3" builtinId="33"/>
    <cellStyle name="Başlık 1" xfId="4" builtinId="16"/>
    <cellStyle name="Vurgu1" xfId="5" builtinId="29"/>
    <cellStyle name="Nötr 2" xfId="6"/>
    <cellStyle name="Vurgu2 2" xfId="7"/>
    <cellStyle name="Nötr 3" xfId="8"/>
    <cellStyle name="Vurgu2 3" xfId="9"/>
    <cellStyle name="Normal 2" xfId="10"/>
    <cellStyle name="Virgül" xfId="11" builtinId="3"/>
  </cellStyles>
  <dxfs count="161">
    <dxf>
      <font>
        <name val="Calibri"/>
        <strike val="0"/>
        <outline val="0"/>
        <shadow val="0"/>
        <sz val="12"/>
        <vertAlign val="baseline"/>
        <scheme val="minor"/>
      </font>
      <numFmt numFmtId="165" formatCode="0.000"/>
    </dxf>
    <dxf>
      <font>
        <name val="Calibri"/>
        <strike val="0"/>
        <outline val="0"/>
        <shadow val="0"/>
        <condense val="0"/>
        <color theme="1"/>
        <extend val="0"/>
        <sz val="12"/>
        <vertAlign val="baseline"/>
        <scheme val="minor"/>
      </font>
    </dxf>
    <dxf>
      <font>
        <name val="Calibri"/>
        <strike val="0"/>
        <outline val="0"/>
        <shadow val="0"/>
        <sz val="12"/>
        <vertAlign val="baseline"/>
        <scheme val="minor"/>
      </font>
    </dxf>
    <dxf>
      <font>
        <name val="Calibri"/>
        <strike val="0"/>
        <outline val="0"/>
        <shadow val="0"/>
        <condense val="0"/>
        <color theme="1"/>
        <extend val="0"/>
        <sz val="12"/>
        <vertAlign val="baseline"/>
        <scheme val="minor"/>
      </font>
    </dxf>
    <dxf>
      <font>
        <name val="Calibri"/>
        <strike val="0"/>
        <outline val="0"/>
        <shadow val="0"/>
        <sz val="12"/>
        <vertAlign val="baseline"/>
        <scheme val="minor"/>
      </font>
      <numFmt numFmtId="165" formatCode="0.000"/>
    </dxf>
    <dxf>
      <font>
        <name val="Calibri"/>
        <strike val="0"/>
        <outline val="0"/>
        <shadow val="0"/>
        <condense val="0"/>
        <color theme="1"/>
        <extend val="0"/>
        <sz val="12"/>
        <vertAlign val="baseline"/>
        <scheme val="minor"/>
      </font>
    </dxf>
    <dxf>
      <font>
        <name val="Calibri"/>
        <strike val="0"/>
        <outline val="0"/>
        <shadow val="0"/>
        <sz val="12"/>
        <vertAlign val="baseline"/>
        <scheme val="minor"/>
      </font>
    </dxf>
    <dxf>
      <font>
        <name val="Calibri"/>
        <strike val="0"/>
        <outline val="0"/>
        <shadow val="0"/>
        <condense val="0"/>
        <color theme="1"/>
        <extend val="0"/>
        <sz val="12"/>
        <vertAlign val="baseline"/>
        <scheme val="minor"/>
      </font>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0" formatCode="General"/>
      <border>
        <left/>
        <right style="medium">
          <color auto="1"/>
        </right>
        <top/>
        <bottom/>
        <vertical/>
        <horizontal/>
      </border>
    </dxf>
    <dxf>
      <font>
        <name val="Calibri"/>
        <strike val="0"/>
        <outline val="0"/>
        <shadow val="0"/>
        <condense val="0"/>
        <color rgb="FF000000"/>
        <extend val="0"/>
        <sz val="12"/>
        <vertAlign val="baseline"/>
        <scheme val="minor"/>
      </font>
    </dxf>
    <dxf>
      <border>
        <bottom style="medium">
          <color rgb="FF0070C0"/>
        </bottom>
      </border>
    </dxf>
    <dxf>
      <font>
        <name val="Calibri"/>
        <strike val="0"/>
        <outline val="0"/>
        <shadow val="0"/>
        <condense val="0"/>
        <color theme="1"/>
        <extend val="0"/>
        <sz val="12"/>
        <vertAlign val="baseline"/>
        <scheme val="minor"/>
      </font>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0" formatCode="General"/>
      <border>
        <left/>
        <right style="medium">
          <color auto="1"/>
        </right>
        <top/>
        <bottom/>
        <vertical/>
        <horizontal/>
      </border>
    </dxf>
    <dxf>
      <font>
        <name val="Calibri"/>
        <strike val="0"/>
        <outline val="0"/>
        <shadow val="0"/>
        <condense val="0"/>
        <color rgb="FF000000"/>
        <extend val="0"/>
        <sz val="12"/>
        <vertAlign val="baseline"/>
        <scheme val="minor"/>
      </font>
    </dxf>
    <dxf>
      <font>
        <name val="Calibri"/>
        <strike val="0"/>
        <outline val="0"/>
        <shadow val="0"/>
        <condense val="0"/>
        <color theme="1"/>
        <extend val="0"/>
        <sz val="12"/>
        <vertAlign val="baseline"/>
        <scheme val="minor"/>
      </font>
    </dxf>
    <dxf>
      <font>
        <color rgb="FF9C0006"/>
      </font>
      <fill>
        <patternFill>
          <bgColor rgb="FFFFC7CE"/>
        </patternFill>
      </fill>
    </dxf>
    <dxf>
      <font>
        <color rgb="FF9C0006"/>
      </font>
      <fill>
        <patternFill>
          <bgColor rgb="FFFFC7CE"/>
        </patternFill>
      </fill>
    </dxf>
    <dxf>
      <font>
        <name val="Calibri"/>
        <strike val="0"/>
        <outline val="0"/>
        <shadow val="0"/>
        <color theme="0"/>
        <sz val="12"/>
        <vertAlign val="baseline"/>
        <scheme val="minor"/>
      </font>
      <numFmt numFmtId="0" formatCode="General"/>
      <fill>
        <patternFill patternType="solid">
          <fgColor indexed="64"/>
          <bgColor theme="0"/>
        </patternFill>
      </fill>
      <border>
        <left style="thin">
          <color rgb="FF7F7F7F"/>
        </left>
      </border>
    </dxf>
    <dxf>
      <font>
        <name val="Calibri"/>
        <strike val="0"/>
        <outline val="0"/>
        <shadow val="0"/>
        <condense val="0"/>
        <color rgb="FFC00000"/>
        <extend val="0"/>
        <sz val="12"/>
        <vertAlign val="baseline"/>
        <scheme val="minor"/>
      </font>
      <numFmt numFmtId="0" formatCode="General"/>
      <fill>
        <patternFill patternType="solid">
          <fgColor indexed="64"/>
          <bgColor theme="4" tint="0.5999938962981048"/>
        </patternFill>
      </fill>
      <border>
        <left style="thin">
          <color rgb="FF7F7F7F"/>
        </left>
        <right style="thin">
          <color rgb="FF7F7F7F"/>
        </right>
        <top style="thin">
          <color rgb="FF7F7F7F"/>
        </top>
        <bottom style="thin">
          <color rgb="FF7F7F7F"/>
        </bottom>
        <vertical/>
        <horizontal/>
      </border>
    </dxf>
    <dxf>
      <font>
        <name val="Calibri"/>
        <strike val="0"/>
        <outline val="0"/>
        <shadow val="0"/>
        <condense val="0"/>
        <color rgb="FFC00000"/>
        <extend val="0"/>
        <sz val="12"/>
        <vertAlign val="baseline"/>
        <scheme val="minor"/>
      </font>
      <numFmt numFmtId="0" formatCode="General"/>
      <fill>
        <patternFill patternType="solid">
          <fgColor indexed="64"/>
          <bgColor theme="8" tint="0.7999816888943144"/>
        </patternFill>
      </fill>
      <border>
        <left style="thin">
          <color rgb="FF7F7F7F"/>
        </left>
        <right style="thin">
          <color rgb="FF7F7F7F"/>
        </right>
        <top style="thin">
          <color rgb="FF7F7F7F"/>
        </top>
        <bottom style="thin">
          <color rgb="FF7F7F7F"/>
        </bottom>
        <vertical/>
        <horizontal/>
      </border>
    </dxf>
    <dxf>
      <font>
        <name val="Calibri"/>
        <strike val="0"/>
        <outline val="0"/>
        <shadow val="0"/>
        <condense val="0"/>
        <color theme="1"/>
        <extend val="0"/>
        <sz val="12"/>
        <vertAlign val="baseline"/>
        <scheme val="minor"/>
      </font>
    </dxf>
    <dxf>
      <border outline="0">
        <top style="thin">
          <color rgb="FF3F3F3F"/>
        </top>
      </border>
    </dxf>
    <dxf>
      <font>
        <strike val="0"/>
        <outline val="0"/>
        <shadow val="0"/>
        <sz val="12"/>
        <vertAlign val="baseline"/>
      </font>
    </dxf>
    <dxf>
      <border outline="0">
        <bottom style="thin">
          <color rgb="FF3F3F3F"/>
        </bottom>
      </border>
    </dxf>
    <dxf>
      <font>
        <name val="Calibri"/>
        <b val="1"/>
        <strike val="0"/>
        <outline val="0"/>
        <shadow val="0"/>
        <condense val="0"/>
        <color rgb="FFFFFF00"/>
        <extend val="0"/>
        <sz val="12"/>
        <vertAlign val="baseline"/>
        <scheme val="minor"/>
      </font>
      <fill>
        <patternFill patternType="solid">
          <fgColor indexed="64"/>
          <bgColor theme="3"/>
        </patternFill>
      </fill>
      <border outline="0">
        <left style="thin">
          <color rgb="FF3F3F3F"/>
        </left>
        <right style="thin">
          <color rgb="FF3F3F3F"/>
        </right>
        <top/>
        <bottom/>
      </border>
    </dxf>
    <dxf>
      <font>
        <name val="Calibri"/>
        <strike val="0"/>
        <outline val="0"/>
        <shadow val="0"/>
        <condense val="0"/>
        <color rgb="FF3F3F76"/>
        <extend val="0"/>
        <sz val="12"/>
        <vertAlign val="baseline"/>
        <scheme val="minor"/>
      </font>
    </dxf>
    <dxf>
      <font>
        <name val="Calibri"/>
        <b val="1"/>
        <strike val="0"/>
        <outline val="0"/>
        <shadow val="0"/>
        <condense val="0"/>
        <color rgb="FFFFFF00"/>
        <extend val="0"/>
        <sz val="12"/>
        <vertAlign val="baseline"/>
        <scheme val="minor"/>
      </font>
      <fill>
        <patternFill patternType="solid">
          <fgColor indexed="64"/>
          <bgColor theme="3" tint="-0.249977111117893"/>
        </patternFill>
      </fill>
    </dxf>
    <dxf>
      <font>
        <strike val="0"/>
        <outline val="0"/>
        <shadow val="0"/>
        <sz val="12"/>
        <vertAlign val="baseline"/>
      </font>
    </dxf>
    <dxf>
      <font>
        <name val="Calibri"/>
        <strike val="0"/>
        <outline val="0"/>
        <shadow val="0"/>
        <condense val="0"/>
        <color theme="1"/>
        <extend val="0"/>
        <sz val="12"/>
        <vertAlign val="baseline"/>
        <scheme val="minor"/>
      </font>
    </dxf>
    <dxf>
      <font>
        <name val="Calibri"/>
        <strike val="0"/>
        <outline val="0"/>
        <shadow val="0"/>
        <condense val="0"/>
        <color theme="1"/>
        <extend val="0"/>
        <sz val="10"/>
        <vertAlign val="baseline"/>
        <scheme val="minor"/>
      </font>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font>
        <name val="Calibri"/>
        <strike val="0"/>
        <outline val="0"/>
        <shadow val="0"/>
        <condense val="0"/>
        <color theme="1"/>
        <extend val="0"/>
        <sz val="10"/>
        <vertAlign val="baseline"/>
        <scheme val="minor"/>
      </font>
      <numFmt numFmtId="2" formatCode="0.00"/>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fill>
        <patternFill patternType="solid">
          <fgColor indexed="64"/>
          <bgColor theme="0"/>
        </patternFill>
      </fill>
    </dxf>
    <dxf>
      <font>
        <name val="Calibri"/>
        <strike val="0"/>
        <outline val="0"/>
        <shadow val="0"/>
        <condense val="0"/>
        <color theme="1"/>
        <extend val="0"/>
        <sz val="10"/>
        <vertAlign val="baseline"/>
        <scheme val="minor"/>
      </font>
      <numFmt numFmtId="2" formatCode="0.00"/>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fill>
        <patternFill patternType="solid">
          <fgColor indexed="64"/>
          <bgColor theme="0"/>
        </patternFill>
      </fill>
    </dxf>
    <dxf>
      <font>
        <name val="Calibri"/>
        <strike val="0"/>
        <outline val="0"/>
        <shadow val="0"/>
        <condense val="0"/>
        <color theme="1"/>
        <extend val="0"/>
        <sz val="10"/>
        <vertAlign val="baseline"/>
        <scheme val="minor"/>
      </font>
      <numFmt numFmtId="2" formatCode="0.00"/>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fill>
        <patternFill patternType="solid">
          <fgColor indexed="64"/>
          <bgColor theme="0"/>
        </patternFill>
      </fill>
    </dxf>
    <dxf>
      <font>
        <name val="Calibri"/>
        <strike val="0"/>
        <outline val="0"/>
        <shadow val="0"/>
        <condense val="0"/>
        <color theme="1"/>
        <extend val="0"/>
        <sz val="10"/>
        <vertAlign val="baseline"/>
        <scheme val="minor"/>
      </font>
      <numFmt numFmtId="2" formatCode="0.00"/>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fill>
        <patternFill patternType="solid">
          <fgColor indexed="64"/>
          <bgColor theme="0"/>
        </patternFill>
      </fill>
    </dxf>
    <dxf>
      <font>
        <name val="Calibri"/>
        <strike val="0"/>
        <outline val="0"/>
        <shadow val="0"/>
        <condense val="0"/>
        <color theme="1"/>
        <extend val="0"/>
        <sz val="10"/>
        <vertAlign val="baseline"/>
        <scheme val="minor"/>
      </font>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fill>
        <patternFill patternType="solid">
          <fgColor indexed="64"/>
          <bgColor theme="0"/>
        </patternFill>
      </fill>
    </dxf>
    <dxf>
      <font>
        <strike val="0"/>
        <outline val="0"/>
        <shadow val="0"/>
        <sz val="10"/>
        <vertAlign val="baseline"/>
      </font>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fill>
        <patternFill patternType="solid">
          <fgColor indexed="64"/>
          <bgColor theme="0"/>
        </patternFill>
      </fill>
    </dxf>
    <dxf>
      <font>
        <strike val="0"/>
        <outline val="0"/>
        <shadow val="0"/>
        <sz val="10"/>
        <vertAlign val="baseline"/>
      </font>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border outline="0">
        <top style="thin">
          <color theme="8" tint="0.3999450666829432"/>
        </top>
      </border>
    </dxf>
    <dxf>
      <font>
        <name val="Calibri"/>
        <strike val="0"/>
        <outline val="0"/>
        <shadow val="0"/>
        <condense val="0"/>
        <color theme="1"/>
        <extend val="0"/>
        <sz val="10"/>
        <vertAlign val="baseline"/>
        <scheme val="minor"/>
      </font>
      <border outline="0">
        <left style="thin">
          <color theme="8" tint="0.3999450666829432"/>
        </left>
        <right style="thin">
          <color theme="8" tint="0.3999450666829432"/>
        </right>
        <top/>
        <bottom/>
      </border>
    </dxf>
    <dxf>
      <border outline="0">
        <right style="thin">
          <color theme="8" tint="0.3999755851924192"/>
        </right>
        <top style="thin">
          <color theme="8" tint="0.3999755851924192"/>
        </top>
      </border>
    </dxf>
    <dxf>
      <font>
        <name val="Calibri"/>
        <strike val="0"/>
        <outline val="0"/>
        <shadow val="0"/>
        <condense val="0"/>
        <color theme="1"/>
        <extend val="0"/>
        <sz val="10"/>
        <vertAlign val="baseline"/>
        <scheme val="minor"/>
      </font>
      <fill>
        <patternFill patternType="solid">
          <fgColor theme="8" tint="0.5999938962981048"/>
          <bgColor theme="8" tint="0.5999938962981048"/>
        </patternFill>
      </fill>
    </dxf>
    <dxf>
      <border outline="0">
        <bottom style="thin">
          <color theme="8" tint="0.3999755851924192"/>
        </bottom>
      </border>
    </dxf>
    <dxf>
      <font>
        <name val="Calibri"/>
        <b val="1"/>
        <strike val="0"/>
        <outline val="0"/>
        <shadow val="0"/>
        <condense val="0"/>
        <color theme="0"/>
        <extend val="0"/>
        <sz val="10"/>
        <vertAlign val="baseline"/>
        <scheme val="minor"/>
      </font>
      <fill>
        <patternFill patternType="solid">
          <fgColor indexed="64"/>
          <bgColor rgb="FF0070C0"/>
        </patternFill>
      </fill>
    </dxf>
    <dxf>
      <font>
        <name val="Calibri"/>
        <strike val="0"/>
        <outline val="0"/>
        <shadow val="0"/>
        <condense val="0"/>
        <color theme="1"/>
        <extend val="0"/>
        <sz val="10"/>
        <vertAlign val="baseline"/>
        <scheme val="minor"/>
      </font>
      <numFmt numFmtId="2" formatCode="0.00"/>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font>
        <name val="Calibri"/>
        <strike val="0"/>
        <outline val="0"/>
        <shadow val="0"/>
        <condense val="0"/>
        <color theme="1"/>
        <extend val="0"/>
        <sz val="10"/>
        <vertAlign val="baseline"/>
        <scheme val="minor"/>
      </font>
      <numFmt numFmtId="2" formatCode="0.00"/>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font>
        <name val="Calibri"/>
        <strike val="0"/>
        <outline val="0"/>
        <shadow val="0"/>
        <condense val="0"/>
        <color theme="1"/>
        <extend val="0"/>
        <sz val="10"/>
        <vertAlign val="baseline"/>
        <scheme val="minor"/>
      </font>
      <numFmt numFmtId="2" formatCode="0.00"/>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font>
        <name val="Calibri"/>
        <strike val="0"/>
        <outline val="0"/>
        <shadow val="0"/>
        <condense val="0"/>
        <color theme="1"/>
        <extend val="0"/>
        <sz val="10"/>
        <vertAlign val="baseline"/>
        <scheme val="minor"/>
      </font>
      <numFmt numFmtId="2" formatCode="0.00"/>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font>
        <name val="Calibri"/>
        <strike val="0"/>
        <outline val="0"/>
        <shadow val="0"/>
        <condense val="0"/>
        <color theme="1"/>
        <extend val="0"/>
        <sz val="10"/>
        <vertAlign val="baseline"/>
        <scheme val="minor"/>
      </font>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font>
        <strike val="0"/>
        <outline val="0"/>
        <shadow val="0"/>
        <sz val="10"/>
        <vertAlign val="baseline"/>
      </font>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font>
        <strike val="0"/>
        <outline val="0"/>
        <shadow val="0"/>
        <sz val="10"/>
        <vertAlign val="baseline"/>
      </font>
      <fill>
        <patternFill patternType="solid">
          <fgColor indexed="64"/>
          <bgColor theme="0"/>
        </patternFill>
      </fill>
      <border outline="0">
        <left style="thin">
          <color theme="8" tint="0.3999450666829432"/>
        </left>
        <right style="thin">
          <color theme="8" tint="0.3999450666829432"/>
        </right>
        <top style="thin">
          <color theme="8" tint="0.3999450666829432"/>
        </top>
        <bottom style="thin">
          <color theme="8" tint="0.3999450666829432"/>
        </bottom>
      </border>
    </dxf>
    <dxf>
      <border outline="0">
        <right style="thin">
          <color theme="8" tint="0.3999755851924192"/>
        </right>
        <top style="thin">
          <color theme="8" tint="0.3999755851924192"/>
        </top>
      </border>
    </dxf>
    <dxf>
      <font>
        <name val="Calibri"/>
        <strike val="0"/>
        <outline val="0"/>
        <shadow val="0"/>
        <condense val="0"/>
        <color theme="1"/>
        <extend val="0"/>
        <sz val="10"/>
        <vertAlign val="baseline"/>
        <scheme val="minor"/>
      </font>
      <fill>
        <patternFill patternType="solid">
          <fgColor indexed="64"/>
          <bgColor theme="0"/>
        </patternFill>
      </fill>
    </dxf>
    <dxf>
      <border outline="0">
        <bottom style="thin">
          <color theme="8" tint="0.3999755851924192"/>
        </bottom>
      </border>
    </dxf>
    <dxf>
      <font>
        <name val="Calibri"/>
        <b val="1"/>
        <strike val="0"/>
        <outline val="0"/>
        <shadow val="0"/>
        <condense val="0"/>
        <color theme="0"/>
        <extend val="0"/>
        <sz val="10"/>
        <vertAlign val="baseline"/>
        <scheme val="minor"/>
      </font>
      <fill>
        <patternFill patternType="solid">
          <fgColor indexed="64"/>
          <bgColor rgb="FF0070C0"/>
        </patternFill>
      </fill>
    </dxf>
    <dxf>
      <font>
        <strike val="0"/>
        <outline val="0"/>
        <shadow val="0"/>
        <sz val="10"/>
        <vertAlign val="baseline"/>
      </font>
      <numFmt numFmtId="2" formatCode="0.00"/>
    </dxf>
    <dxf>
      <font>
        <strike val="0"/>
        <outline val="0"/>
        <shadow val="0"/>
        <sz val="10"/>
        <vertAlign val="baseline"/>
      </font>
      <numFmt numFmtId="2" formatCode="0.00"/>
    </dxf>
    <dxf>
      <font>
        <strike val="0"/>
        <outline val="0"/>
        <shadow val="0"/>
        <sz val="10"/>
        <vertAlign val="baseline"/>
      </font>
      <numFmt numFmtId="2" formatCode="0.00"/>
    </dxf>
    <dxf>
      <font>
        <strike val="0"/>
        <outline val="0"/>
        <shadow val="0"/>
        <sz val="10"/>
        <vertAlign val="baseline"/>
      </font>
      <numFmt numFmtId="2" formatCode="0.00"/>
    </dxf>
    <dxf>
      <font>
        <strike val="0"/>
        <outline val="0"/>
        <shadow val="0"/>
        <sz val="10"/>
        <vertAlign val="baseline"/>
      </font>
    </dxf>
    <dxf>
      <font>
        <strike val="0"/>
        <outline val="0"/>
        <shadow val="0"/>
        <sz val="10"/>
        <vertAlign val="baseline"/>
      </font>
    </dxf>
    <dxf>
      <font>
        <strike val="0"/>
        <outline val="0"/>
        <shadow val="0"/>
        <sz val="10"/>
        <vertAlign val="baseline"/>
      </font>
    </dxf>
    <dxf>
      <font>
        <strike val="0"/>
        <outline val="0"/>
        <shadow val="0"/>
        <sz val="10"/>
        <vertAlign val="baseline"/>
      </font>
    </dxf>
    <dxf>
      <font>
        <name val="Calibri"/>
        <b val="1"/>
        <strike val="0"/>
        <outline val="0"/>
        <shadow val="0"/>
        <color theme="0"/>
        <sz val="10"/>
        <vertAlign val="baseline"/>
        <scheme val="minor"/>
      </font>
      <fill>
        <patternFill patternType="solid">
          <fgColor indexed="64"/>
          <bgColor rgb="FF00B050"/>
        </patternFill>
      </fill>
    </dxf>
    <dxf>
      <font>
        <name val="Calibri"/>
        <strike val="0"/>
        <outline val="0"/>
        <shadow val="0"/>
        <color rgb="FFFFFF00"/>
        <sz val="12"/>
        <vertAlign val="baseline"/>
        <scheme val="minor"/>
      </font>
      <fill>
        <patternFill patternType="solid">
          <fgColor indexed="64"/>
          <bgColor theme="3" tint="-0.249977111117893"/>
        </patternFill>
      </fill>
      <border outline="0">
        <left style="thin">
          <color auto="1"/>
        </left>
        <right/>
        <top style="thin">
          <color theme="0"/>
        </top>
        <bottom style="thin">
          <color theme="0"/>
        </bottom>
      </border>
    </dxf>
    <dxf>
      <font>
        <name val="Calibri"/>
        <strike val="0"/>
        <outline val="0"/>
        <shadow val="0"/>
        <color theme="1"/>
        <sz val="12"/>
        <vertAlign val="baseline"/>
        <scheme val="minor"/>
      </font>
      <fill>
        <patternFill patternType="solid">
          <fgColor indexed="64"/>
          <bgColor rgb="FF00B0F0"/>
        </patternFill>
      </fill>
      <border outline="0">
        <left style="thin">
          <color auto="1"/>
        </left>
        <right/>
        <top/>
        <bottom/>
      </border>
    </dxf>
    <dxf>
      <border>
        <left style="thin">
          <color auto="1"/>
        </left>
        <right style="thin">
          <color auto="1"/>
        </right>
        <top style="thin">
          <color auto="1"/>
        </top>
        <bottom style="thin">
          <color auto="1"/>
        </bottom>
      </border>
    </dxf>
    <dxf>
      <font>
        <strike val="0"/>
        <outline val="0"/>
        <shadow val="0"/>
        <sz val="12"/>
        <vertAlign val="baseline"/>
      </font>
    </dxf>
    <dxf>
      <font>
        <strike val="0"/>
        <outline val="0"/>
        <shadow val="0"/>
        <sz val="12"/>
        <vertAlign val="baseline"/>
      </font>
    </dxf>
    <dxf>
      <font>
        <name val="Calibri"/>
        <strike val="0"/>
        <outline val="0"/>
        <shadow val="0"/>
        <condense val="0"/>
        <color rgb="FF3F3F76"/>
        <extend val="0"/>
        <sz val="12"/>
        <vertAlign val="baseline"/>
        <scheme val="minor"/>
      </font>
    </dxf>
    <dxf>
      <font>
        <name val="Calibri"/>
        <strike val="0"/>
        <outline val="0"/>
        <shadow val="0"/>
        <condense val="0"/>
        <color rgb="FFFFFF00"/>
        <extend val="0"/>
        <sz val="12"/>
        <vertAlign val="baseline"/>
        <scheme val="minor"/>
      </font>
      <fill>
        <patternFill patternType="solid">
          <fgColor indexed="64"/>
          <bgColor theme="3" tint="-0.249977111117893"/>
        </patternFill>
      </fill>
    </dxf>
    <dxf>
      <font>
        <strike val="0"/>
        <outline val="0"/>
        <shadow val="0"/>
        <sz val="12"/>
        <vertAlign val="baseline"/>
      </font>
    </dxf>
    <dxf>
      <font>
        <name val="Calibri"/>
        <strike val="0"/>
        <outline val="0"/>
        <shadow val="0"/>
        <condense val="0"/>
        <color theme="1"/>
        <extend val="0"/>
        <sz val="12"/>
        <vertAlign val="baseline"/>
        <scheme val="minor"/>
      </font>
    </dxf>
    <dxf>
      <font>
        <name val="Calibri"/>
        <strike val="0"/>
        <outline val="0"/>
        <shadow val="0"/>
        <sz val="12"/>
        <vertAlign val="baseline"/>
        <scheme val="minor"/>
      </font>
      <numFmt numFmtId="165" formatCode="0.000"/>
    </dxf>
    <dxf>
      <font>
        <name val="Calibri"/>
        <strike val="0"/>
        <outline val="0"/>
        <shadow val="0"/>
        <sz val="12"/>
        <vertAlign val="baseline"/>
        <scheme val="minor"/>
      </font>
    </dxf>
    <dxf>
      <font>
        <name val="Calibri"/>
        <strike val="0"/>
        <outline val="0"/>
        <shadow val="0"/>
        <sz val="12"/>
        <vertAlign val="baseline"/>
        <scheme val="minor"/>
      </font>
      <numFmt numFmtId="165" formatCode="0.000"/>
      <border>
        <left/>
        <right style="medium">
          <color auto="1"/>
        </right>
        <top/>
        <bottom/>
        <vertical/>
        <horizontal/>
      </border>
    </dxf>
    <dxf>
      <font>
        <name val="Calibri"/>
        <strike val="0"/>
        <outline val="0"/>
        <shadow val="0"/>
        <condense val="0"/>
        <color theme="1"/>
        <extend val="0"/>
        <sz val="12"/>
        <vertAlign val="baseline"/>
        <scheme val="minor"/>
      </font>
    </dxf>
    <dxf>
      <font>
        <name val="Calibri"/>
        <strike val="0"/>
        <outline val="0"/>
        <shadow val="0"/>
        <sz val="12"/>
        <vertAlign val="baseline"/>
        <scheme val="minor"/>
      </font>
    </dxf>
    <dxf>
      <font>
        <name val="Calibri"/>
        <strike val="0"/>
        <outline val="0"/>
        <shadow val="0"/>
        <condense val="0"/>
        <color theme="1"/>
        <extend val="0"/>
        <sz val="12"/>
        <vertAlign val="baseline"/>
        <scheme val="minor"/>
      </font>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165" formatCode="0.000"/>
    </dxf>
    <dxf>
      <font>
        <name val="Calibri"/>
        <strike val="0"/>
        <outline val="0"/>
        <shadow val="0"/>
        <condense val="0"/>
        <color theme="1"/>
        <extend val="0"/>
        <sz val="12"/>
        <vertAlign val="baseline"/>
        <scheme val="minor"/>
      </font>
      <numFmt numFmtId="0" formatCode="General"/>
      <border>
        <left/>
        <right style="thin">
          <color auto="1"/>
        </right>
        <top/>
        <bottom/>
      </border>
    </dxf>
    <dxf>
      <font>
        <name val="Calibri"/>
        <strike val="0"/>
        <outline val="0"/>
        <shadow val="0"/>
        <condense val="0"/>
        <color rgb="FF000000"/>
        <extend val="0"/>
        <sz val="12"/>
        <vertAlign val="baseline"/>
        <scheme val="minor"/>
      </font>
    </dxf>
    <dxf>
      <font>
        <name val="Calibri"/>
        <strike val="0"/>
        <outline val="0"/>
        <shadow val="0"/>
        <condense val="0"/>
        <color theme="1"/>
        <extend val="0"/>
        <sz val="12"/>
        <vertAlign val="baseline"/>
        <scheme val="minor"/>
      </font>
    </dxf>
    <dxf>
      <font>
        <color rgb="FF9C0006"/>
      </font>
      <fill>
        <patternFill>
          <bgColor rgb="FFFFC7CE"/>
        </patternFill>
      </fill>
    </dxf>
    <dxf>
      <font>
        <name val="Calibri"/>
        <strike val="0"/>
        <outline val="0"/>
        <shadow val="0"/>
        <condense val="0"/>
        <color auto="1"/>
        <extend val="0"/>
        <sz val="12"/>
        <vertAlign val="baseline"/>
        <scheme val="minor"/>
      </font>
      <numFmt numFmtId="0" formatCode="General"/>
      <fill>
        <patternFill patternType="solid">
          <fgColor indexed="64"/>
          <bgColor theme="9" tint="0.5999938962981048"/>
        </patternFill>
      </fill>
      <border>
        <left style="thin">
          <color rgb="FF7F7F7F"/>
        </left>
        <right/>
        <top style="thin">
          <color rgb="FF7F7F7F"/>
        </top>
        <bottom style="thin">
          <color rgb="FF7F7F7F"/>
        </bottom>
      </border>
    </dxf>
    <dxf>
      <font>
        <name val="Calibri"/>
        <strike val="0"/>
        <outline val="0"/>
        <shadow val="0"/>
        <condense val="0"/>
        <color rgb="FFC00000"/>
        <extend val="0"/>
        <sz val="12"/>
        <vertAlign val="baseline"/>
        <scheme val="minor"/>
      </font>
      <numFmt numFmtId="0" formatCode="General"/>
      <fill>
        <patternFill patternType="solid">
          <fgColor indexed="64"/>
          <bgColor theme="8" tint="0.7999816888943144"/>
        </patternFill>
      </fill>
      <border outline="0">
        <left style="thin">
          <color rgb="FF7F7F7F"/>
        </left>
        <right style="thin">
          <color rgb="FF7F7F7F"/>
        </right>
        <top style="thin">
          <color rgb="FF7F7F7F"/>
        </top>
        <bottom style="thin">
          <color rgb="FF7F7F7F"/>
        </bottom>
      </border>
    </dxf>
    <dxf>
      <font>
        <name val="Calibri"/>
        <strike val="0"/>
        <outline val="0"/>
        <shadow val="0"/>
        <condense val="0"/>
        <color theme="1"/>
        <extend val="0"/>
        <sz val="12"/>
        <vertAlign val="baseline"/>
        <scheme val="minor"/>
      </font>
    </dxf>
    <dxf>
      <border outline="0">
        <top style="thin">
          <color rgb="FF3F3F3F"/>
        </top>
      </border>
    </dxf>
    <dxf>
      <font>
        <strike val="0"/>
        <outline val="0"/>
        <shadow val="0"/>
        <sz val="12"/>
        <vertAlign val="baseline"/>
      </font>
    </dxf>
    <dxf>
      <border outline="0">
        <bottom style="thin">
          <color rgb="FF3F3F3F"/>
        </bottom>
      </border>
    </dxf>
    <dxf>
      <font>
        <name val="Calibri"/>
        <b val="1"/>
        <strike val="0"/>
        <outline val="0"/>
        <shadow val="0"/>
        <condense val="0"/>
        <color rgb="FFFFFF00"/>
        <extend val="0"/>
        <sz val="12"/>
        <vertAlign val="baseline"/>
        <scheme val="minor"/>
      </font>
      <fill>
        <patternFill patternType="solid">
          <fgColor indexed="64"/>
          <bgColor theme="3"/>
        </patternFill>
      </fill>
      <border outline="0">
        <left style="thin">
          <color rgb="FF3F3F3F"/>
        </left>
        <right style="thin">
          <color rgb="FF3F3F3F"/>
        </right>
        <top/>
        <bottom/>
      </border>
    </dxf>
    <dxf>
      <font>
        <name val="Calibri"/>
        <strike val="0"/>
        <outline val="0"/>
        <shadow val="0"/>
        <sz val="12"/>
        <vertAlign val="baseline"/>
        <scheme val="minor"/>
      </font>
      <numFmt numFmtId="0" formatCode="General"/>
    </dxf>
    <dxf>
      <font>
        <name val="Calibri"/>
        <strike val="0"/>
        <outline val="0"/>
        <shadow val="0"/>
        <sz val="12"/>
        <vertAlign val="baseline"/>
        <scheme val="minor"/>
      </font>
    </dxf>
    <dxf>
      <font>
        <name val="Calibri"/>
        <strike val="0"/>
        <outline val="0"/>
        <shadow val="0"/>
        <sz val="12"/>
        <vertAlign val="baseline"/>
        <scheme val="minor"/>
      </font>
      <numFmt numFmtId="165" formatCode="0.000"/>
      <border>
        <left/>
        <right style="medium">
          <color auto="1"/>
        </right>
        <top/>
        <bottom/>
        <vertical/>
        <horizontal/>
      </border>
    </dxf>
    <dxf>
      <font>
        <name val="Calibri"/>
        <strike val="0"/>
        <outline val="0"/>
        <shadow val="0"/>
        <condense val="0"/>
        <color theme="1"/>
        <extend val="0"/>
        <sz val="12"/>
        <vertAlign val="baseline"/>
        <scheme val="minor"/>
      </font>
    </dxf>
    <dxf>
      <font>
        <name val="Calibri"/>
        <strike val="0"/>
        <outline val="0"/>
        <shadow val="0"/>
        <sz val="12"/>
        <vertAlign val="baseline"/>
        <scheme val="minor"/>
      </font>
    </dxf>
    <dxf>
      <font>
        <name val="Calibri"/>
        <strike val="0"/>
        <outline val="0"/>
        <shadow val="0"/>
        <condense val="0"/>
        <color theme="1"/>
        <extend val="0"/>
        <sz val="12"/>
        <vertAlign val="baseline"/>
        <scheme val="minor"/>
      </font>
    </dxf>
    <dxf>
      <font>
        <name val="Calibri"/>
        <strike val="0"/>
        <outline val="0"/>
        <shadow val="0"/>
        <sz val="12"/>
        <vertAlign val="baseline"/>
        <scheme val="minor"/>
      </font>
      <numFmt numFmtId="165" formatCode="0.000"/>
    </dxf>
    <dxf>
      <font>
        <name val="Calibri"/>
        <strike val="0"/>
        <outline val="0"/>
        <shadow val="0"/>
        <sz val="12"/>
        <vertAlign val="baseline"/>
        <scheme val="minor"/>
      </font>
      <numFmt numFmtId="165" formatCode="0.000"/>
    </dxf>
    <dxf>
      <font>
        <name val="Calibri"/>
        <strike val="0"/>
        <outline val="0"/>
        <shadow val="0"/>
        <sz val="12"/>
        <vertAlign val="baseline"/>
        <scheme val="minor"/>
      </font>
      <numFmt numFmtId="165" formatCode="0.000"/>
      <border>
        <left/>
        <right style="medium">
          <color auto="1"/>
        </right>
        <top/>
        <bottom/>
        <vertical/>
        <horizontal/>
      </border>
    </dxf>
    <dxf>
      <font>
        <name val="Calibri"/>
        <strike val="0"/>
        <outline val="0"/>
        <shadow val="0"/>
        <condense val="0"/>
        <color theme="1"/>
        <extend val="0"/>
        <sz val="12"/>
        <vertAlign val="baseline"/>
        <scheme val="minor"/>
      </font>
    </dxf>
    <dxf>
      <font>
        <name val="Calibri"/>
        <strike val="0"/>
        <outline val="0"/>
        <shadow val="0"/>
        <sz val="12"/>
        <vertAlign val="baseline"/>
        <scheme val="minor"/>
      </font>
    </dxf>
    <dxf>
      <font>
        <name val="Calibri"/>
        <strike val="0"/>
        <outline val="0"/>
        <shadow val="0"/>
        <condense val="0"/>
        <color theme="1"/>
        <extend val="0"/>
        <sz val="12"/>
        <vertAlign val="baseline"/>
        <scheme val="minor"/>
      </font>
    </dxf>
    <dxf>
      <font>
        <name val="Calibri"/>
        <strike val="0"/>
        <outline val="0"/>
        <shadow val="0"/>
        <condense val="0"/>
        <color theme="1"/>
        <extend val="0"/>
        <sz val="12"/>
        <vertAlign val="baseline"/>
        <scheme val="minor"/>
      </font>
      <numFmt numFmtId="165" formatCode="0.000"/>
      <border outline="0">
        <left style="thin">
          <color theme="0"/>
        </left>
        <right/>
        <top style="thin">
          <color theme="0"/>
        </top>
        <bottom style="thin">
          <color theme="0"/>
        </bottom>
      </border>
    </dxf>
    <dxf>
      <font>
        <name val="Calibri"/>
        <strike val="0"/>
        <outline val="0"/>
        <shadow val="0"/>
        <condense val="0"/>
        <color theme="1"/>
        <extend val="0"/>
        <sz val="12"/>
        <vertAlign val="baseline"/>
        <scheme val="minor"/>
      </font>
      <numFmt numFmtId="165" formatCode="0.000"/>
      <border outline="0">
        <left style="thin">
          <color theme="0"/>
        </left>
        <right style="thin">
          <color theme="0"/>
        </right>
        <top style="thin">
          <color theme="0"/>
        </top>
        <bottom style="thin">
          <color theme="0"/>
        </bottom>
      </border>
    </dxf>
    <dxf>
      <font>
        <name val="Calibri"/>
        <strike val="0"/>
        <outline val="0"/>
        <shadow val="0"/>
        <condense val="0"/>
        <color theme="1"/>
        <extend val="0"/>
        <sz val="12"/>
        <vertAlign val="baseline"/>
        <scheme val="minor"/>
      </font>
      <numFmt numFmtId="165" formatCode="0.000"/>
      <border outline="0">
        <left style="thin">
          <color theme="0"/>
        </left>
        <right style="thin">
          <color theme="0"/>
        </right>
        <top style="thin">
          <color theme="0"/>
        </top>
        <bottom style="thin">
          <color theme="0"/>
        </bottom>
      </border>
    </dxf>
    <dxf>
      <font>
        <name val="Calibri"/>
        <strike val="0"/>
        <outline val="0"/>
        <shadow val="0"/>
        <condense val="0"/>
        <color theme="1"/>
        <extend val="0"/>
        <sz val="12"/>
        <vertAlign val="baseline"/>
        <scheme val="minor"/>
      </font>
      <numFmt numFmtId="165" formatCode="0.000"/>
      <border outline="0">
        <left style="thin">
          <color theme="0"/>
        </left>
        <right style="thin">
          <color theme="0"/>
        </right>
        <top style="thin">
          <color theme="0"/>
        </top>
        <bottom style="thin">
          <color theme="0"/>
        </bottom>
      </border>
    </dxf>
    <dxf>
      <font>
        <name val="Calibri"/>
        <strike val="0"/>
        <outline val="0"/>
        <shadow val="0"/>
        <condense val="0"/>
        <color theme="1"/>
        <extend val="0"/>
        <sz val="12"/>
        <vertAlign val="baseline"/>
        <scheme val="minor"/>
      </font>
      <numFmt numFmtId="165" formatCode="0.000"/>
      <border outline="0">
        <left style="thick">
          <color rgb="FF002060"/>
        </left>
        <right style="thin">
          <color theme="0"/>
        </right>
        <top/>
        <bottom style="thin">
          <color theme="0"/>
        </bottom>
      </border>
    </dxf>
    <dxf>
      <font>
        <name val="Calibri"/>
        <strike val="0"/>
        <outline val="0"/>
        <shadow val="0"/>
        <condense val="0"/>
        <color theme="1"/>
        <extend val="0"/>
        <sz val="12"/>
        <vertAlign val="baseline"/>
        <scheme val="minor"/>
      </font>
      <numFmt numFmtId="0" formatCode="General"/>
      <border>
        <left/>
        <right style="thick">
          <color rgb="FF002060"/>
        </right>
        <top/>
        <bottom/>
      </border>
    </dxf>
    <dxf>
      <border>
        <left style="thin">
          <color auto="1"/>
        </left>
        <right style="thin">
          <color auto="1"/>
        </right>
        <top style="thin">
          <color auto="1"/>
        </top>
        <bottom style="thin">
          <color auto="1"/>
        </bottom>
      </border>
    </dxf>
    <dxf>
      <font>
        <name val="Calibri"/>
        <strike val="0"/>
        <outline val="0"/>
        <shadow val="0"/>
        <condense val="0"/>
        <color theme="1"/>
        <extend val="0"/>
        <sz val="12"/>
        <vertAlign val="baseline"/>
        <scheme val="minor"/>
      </font>
    </dxf>
    <dxf>
      <border>
        <bottom style="thin">
          <color auto="1"/>
        </bottom>
      </border>
    </dxf>
    <dxf>
      <font>
        <name val="Calibri"/>
        <b val="1"/>
        <strike val="0"/>
        <outline val="0"/>
        <shadow val="0"/>
        <condense val="0"/>
        <color theme="1"/>
        <extend val="0"/>
        <sz val="12"/>
        <vertAlign val="baseline"/>
        <scheme val="minor"/>
      </font>
      <border>
        <left/>
        <right/>
        <top/>
        <bottom/>
        <vertical/>
        <horizontal/>
      </border>
    </dxf>
    <dxf>
      <font>
        <name val="Calibri"/>
        <strike val="0"/>
        <outline val="0"/>
        <shadow val="0"/>
        <condense val="0"/>
        <color theme="1"/>
        <extend val="0"/>
        <sz val="12"/>
        <vertAlign val="baseline"/>
        <scheme val="minor"/>
      </font>
      <numFmt numFmtId="165" formatCode="0.000"/>
      <border outline="0">
        <left style="thin">
          <color theme="0"/>
        </left>
        <right/>
        <top style="thin">
          <color theme="0"/>
        </top>
        <bottom style="thin">
          <color theme="0"/>
        </bottom>
      </border>
    </dxf>
    <dxf>
      <font>
        <name val="Calibri"/>
        <strike val="0"/>
        <outline val="0"/>
        <shadow val="0"/>
        <condense val="0"/>
        <color theme="1"/>
        <extend val="0"/>
        <sz val="12"/>
        <vertAlign val="baseline"/>
        <scheme val="minor"/>
      </font>
      <numFmt numFmtId="165" formatCode="0.000"/>
      <border outline="0">
        <left style="thin">
          <color theme="0"/>
        </left>
        <right style="thin">
          <color theme="0"/>
        </right>
        <top style="thin">
          <color theme="0"/>
        </top>
        <bottom style="thin">
          <color theme="0"/>
        </bottom>
      </border>
    </dxf>
    <dxf>
      <font>
        <name val="Calibri"/>
        <strike val="0"/>
        <outline val="0"/>
        <shadow val="0"/>
        <condense val="0"/>
        <color theme="1"/>
        <extend val="0"/>
        <sz val="12"/>
        <vertAlign val="baseline"/>
        <scheme val="minor"/>
      </font>
      <numFmt numFmtId="165" formatCode="0.000"/>
      <border outline="0">
        <left style="thin">
          <color theme="0"/>
        </left>
        <right style="thin">
          <color theme="0"/>
        </right>
        <top style="thin">
          <color theme="0"/>
        </top>
        <bottom style="thin">
          <color theme="0"/>
        </bottom>
      </border>
    </dxf>
    <dxf>
      <font>
        <name val="Calibri"/>
        <strike val="0"/>
        <outline val="0"/>
        <shadow val="0"/>
        <condense val="0"/>
        <color theme="1"/>
        <extend val="0"/>
        <sz val="12"/>
        <vertAlign val="baseline"/>
        <scheme val="minor"/>
      </font>
      <numFmt numFmtId="165" formatCode="0.000"/>
      <border outline="0">
        <left style="thin">
          <color theme="0"/>
        </left>
        <right style="thin">
          <color theme="0"/>
        </right>
        <top style="thin">
          <color theme="0"/>
        </top>
        <bottom style="thin">
          <color theme="0"/>
        </bottom>
      </border>
    </dxf>
    <dxf>
      <font>
        <name val="Calibri"/>
        <strike val="0"/>
        <outline val="0"/>
        <shadow val="0"/>
        <condense val="0"/>
        <color theme="1"/>
        <extend val="0"/>
        <sz val="12"/>
        <vertAlign val="baseline"/>
        <scheme val="minor"/>
      </font>
      <numFmt numFmtId="165" formatCode="0.000"/>
      <border outline="0">
        <left style="thick">
          <color rgb="FF002060"/>
        </left>
        <right style="thin">
          <color theme="0"/>
        </right>
        <top style="thin">
          <color theme="0"/>
        </top>
        <bottom style="thin">
          <color theme="0"/>
        </bottom>
      </border>
    </dxf>
    <dxf>
      <font>
        <name val="Calibri"/>
        <strike val="0"/>
        <outline val="0"/>
        <shadow val="0"/>
        <condense val="0"/>
        <color theme="1"/>
        <extend val="0"/>
        <sz val="12"/>
        <vertAlign val="baseline"/>
        <scheme val="minor"/>
      </font>
      <numFmt numFmtId="0" formatCode="General"/>
      <border>
        <left/>
        <right style="thick">
          <color rgb="FF002060"/>
        </right>
        <top/>
        <bottom/>
      </border>
    </dxf>
    <dxf>
      <border>
        <left style="thin">
          <color auto="1"/>
        </left>
        <right style="thin">
          <color auto="1"/>
        </right>
        <top style="thin">
          <color auto="1"/>
        </top>
        <bottom style="thin">
          <color auto="1"/>
        </bottom>
      </border>
    </dxf>
    <dxf>
      <font>
        <name val="Calibri"/>
        <strike val="0"/>
        <outline val="0"/>
        <shadow val="0"/>
        <condense val="0"/>
        <color theme="1"/>
        <extend val="0"/>
        <sz val="12"/>
        <vertAlign val="baseline"/>
        <scheme val="minor"/>
      </font>
    </dxf>
    <dxf>
      <font>
        <name val="Calibri"/>
        <strike val="0"/>
        <outline val="0"/>
        <shadow val="0"/>
        <condense val="0"/>
        <color theme="1"/>
        <extend val="0"/>
        <sz val="12"/>
        <vertAlign val="baseline"/>
        <scheme val="minor"/>
      </font>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Calibri"/>
        <strike val="0"/>
        <outline val="0"/>
        <shadow val="0"/>
        <condense val="0"/>
        <color rgb="FFC00000"/>
        <extend val="0"/>
        <sz val="12"/>
        <vertAlign val="baseline"/>
        <scheme val="minor"/>
      </font>
      <numFmt numFmtId="0" formatCode="General"/>
      <fill>
        <patternFill patternType="solid">
          <fgColor indexed="64"/>
          <bgColor theme="9" tint="0.5999938962981048"/>
        </patternFill>
      </fill>
      <border>
        <left style="thin">
          <color rgb="FF7F7F7F"/>
        </left>
        <right style="thin">
          <color rgb="FF7F7F7F"/>
        </right>
        <top style="thin">
          <color rgb="FF7F7F7F"/>
        </top>
        <bottom style="thin">
          <color rgb="FF7F7F7F"/>
        </bottom>
      </border>
    </dxf>
    <dxf>
      <font>
        <name val="Calibri"/>
        <strike val="0"/>
        <outline val="0"/>
        <shadow val="0"/>
        <condense val="0"/>
        <color rgb="FFC00000"/>
        <extend val="0"/>
        <sz val="12"/>
        <vertAlign val="baseline"/>
        <scheme val="minor"/>
      </font>
      <numFmt numFmtId="0" formatCode="General"/>
      <fill>
        <patternFill patternType="solid">
          <fgColor indexed="64"/>
          <bgColor theme="6" tint="0.5999938962981048"/>
        </patternFill>
      </fill>
      <border>
        <left style="thin">
          <color rgb="FF7F7F7F"/>
        </left>
        <right style="thin">
          <color rgb="FF7F7F7F"/>
        </right>
        <top style="thin">
          <color rgb="FF7F7F7F"/>
        </top>
        <bottom style="thin">
          <color rgb="FF7F7F7F"/>
        </bottom>
        <vertical/>
        <horizontal/>
      </border>
      <protection locked="0" hidden="0"/>
    </dxf>
    <dxf>
      <font>
        <name val="Calibri"/>
        <strike val="0"/>
        <outline val="0"/>
        <shadow val="0"/>
        <condense val="0"/>
        <color rgb="FFC00000"/>
        <extend val="0"/>
        <sz val="12"/>
        <vertAlign val="baseline"/>
        <scheme val="minor"/>
      </font>
      <fill>
        <patternFill patternType="solid">
          <fgColor indexed="64"/>
          <bgColor theme="8" tint="0.7999816888943144"/>
        </patternFill>
      </fill>
      <border>
        <left style="thin">
          <color rgb="FF7F7F7F"/>
        </left>
        <right style="thin">
          <color rgb="FF7F7F7F"/>
        </right>
        <top style="thin">
          <color rgb="FF7F7F7F"/>
        </top>
        <bottom style="thin">
          <color rgb="FF7F7F7F"/>
        </bottom>
        <vertical/>
        <horizontal/>
      </border>
      <protection locked="0" hidden="0"/>
    </dxf>
    <dxf>
      <font>
        <name val="Calibri"/>
        <strike val="0"/>
        <outline val="0"/>
        <shadow val="0"/>
        <condense val="0"/>
        <color theme="1"/>
        <extend val="0"/>
        <sz val="12"/>
        <vertAlign val="baseline"/>
        <scheme val="minor"/>
      </font>
    </dxf>
    <dxf>
      <border outline="0">
        <top style="thin">
          <color rgb="FF3F3F3F"/>
        </top>
      </border>
    </dxf>
    <dxf>
      <font>
        <strike val="0"/>
        <outline val="0"/>
        <shadow val="0"/>
        <sz val="12"/>
        <vertAlign val="baseline"/>
      </font>
    </dxf>
    <dxf>
      <border outline="0">
        <bottom style="thin">
          <color rgb="FF3F3F3F"/>
        </bottom>
      </border>
    </dxf>
    <dxf>
      <font>
        <name val="Calibri"/>
        <b val="1"/>
        <strike val="0"/>
        <outline val="0"/>
        <shadow val="0"/>
        <condense val="0"/>
        <color rgb="FFFFFF00"/>
        <extend val="0"/>
        <sz val="12"/>
        <vertAlign val="baseline"/>
        <scheme val="minor"/>
      </font>
      <fill>
        <patternFill patternType="solid">
          <fgColor indexed="64"/>
          <bgColor theme="3"/>
        </patternFill>
      </fill>
      <border outline="0">
        <left style="thin">
          <color rgb="FF3F3F3F"/>
        </left>
        <right style="thin">
          <color rgb="FF3F3F3F"/>
        </right>
        <top/>
        <bottom/>
      </border>
    </dxf>
    <dxf>
      <font>
        <name val="Calibri"/>
        <strike val="0"/>
        <outline val="0"/>
        <shadow val="0"/>
        <condense val="0"/>
        <color rgb="FF3F3F76"/>
        <extend val="0"/>
        <sz val="12"/>
        <vertAlign val="baseline"/>
        <scheme val="minor"/>
      </font>
    </dxf>
    <dxf>
      <font>
        <name val="Calibri"/>
        <strike val="0"/>
        <outline val="0"/>
        <shadow val="0"/>
        <condense val="0"/>
        <color rgb="FFFFFF00"/>
        <extend val="0"/>
        <sz val="12"/>
        <vertAlign val="baseline"/>
        <scheme val="minor"/>
      </font>
      <fill>
        <patternFill patternType="solid">
          <fgColor indexed="64"/>
          <bgColor theme="3" tint="-0.249977111117893"/>
        </patternFill>
      </fill>
    </dxf>
    <dxf>
      <font>
        <strike val="0"/>
        <outline val="0"/>
        <shadow val="0"/>
        <sz val="12"/>
        <vertAlign val="baseline"/>
      </font>
    </dxf>
    <dxf>
      <font>
        <name val="Calibri"/>
        <strike val="0"/>
        <outline val="0"/>
        <shadow val="0"/>
        <condense val="0"/>
        <color theme="1"/>
        <extend val="0"/>
        <sz val="12"/>
        <vertAlign val="baseline"/>
        <scheme val="minor"/>
      </font>
    </dxf>
  </dxf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tr-TR"/>
              <a:t>Senaryolara göre işletmelerin</a:t>
            </a:r>
            <a:r>
              <a:rPr lang="tr-TR" baseline="0"/>
              <a:t xml:space="preserve"> BSS Dağılımı</a:t>
            </a:r>
          </a:p>
        </rich>
      </tx>
      <layout>
        <manualLayout>
          <xMode val="edge"/>
          <yMode val="edge"/>
          <wMode val="factor"/>
          <hMode val="factor"/>
          <x val="0.384590113735783"/>
          <y val="0.02777777777777778"/>
        </manualLayout>
      </layout>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scatterChart>
        <scatterStyle val="lineMarker"/>
        <varyColors val="0"/>
        <ser>
          <idx val="0"/>
          <order val="0"/>
          <tx>
            <strRef>
              <f>YORUM!$B$57</f>
              <strCache>
                <ptCount val="1"/>
                <pt idx="0">
                  <v>Ceylanpınar</v>
                </pt>
              </strCache>
            </strRef>
          </tx>
          <spPr>
            <a:ln w="28575" cap="rnd">
              <a:noFill/>
              <a:prstDash val="solid"/>
              <a:round/>
            </a:ln>
          </spPr>
          <marker>
            <symbol val="circle"/>
            <size val="5"/>
            <spPr>
              <a:solidFill>
                <a:schemeClr val="accent1"/>
              </a:solidFill>
              <a:ln w="9525">
                <a:solidFill>
                  <a:schemeClr val="accent1"/>
                </a:solidFill>
                <a:prstDash val="solid"/>
              </a:ln>
            </spPr>
          </marker>
          <xVal>
            <strRef>
              <f>YORUM!$A$58:$A$67</f>
              <strCache>
                <ptCount val="10"/>
                <pt idx="0">
                  <v xml:space="preserve">S1 </v>
                </pt>
                <pt idx="1">
                  <v xml:space="preserve">S2 </v>
                </pt>
                <pt idx="2">
                  <v xml:space="preserve">S3 </v>
                </pt>
                <pt idx="3">
                  <v xml:space="preserve">S4 </v>
                </pt>
                <pt idx="4">
                  <v xml:space="preserve">S5 </v>
                </pt>
                <pt idx="5">
                  <v xml:space="preserve">S6 </v>
                </pt>
                <pt idx="6">
                  <v xml:space="preserve">S7 </v>
                </pt>
                <pt idx="7">
                  <v xml:space="preserve">S8 </v>
                </pt>
                <pt idx="8">
                  <v xml:space="preserve">S9 </v>
                </pt>
                <pt idx="9">
                  <v xml:space="preserve">S10 </v>
                </pt>
              </strCache>
            </strRef>
          </xVal>
          <yVal>
            <numRef>
              <f>YORUM!$B$58:$B$67</f>
              <numCache>
                <formatCode>General</formatCode>
                <ptCount val="10"/>
                <pt idx="0">
                  <v>74.77849999999999</v>
                </pt>
                <pt idx="1">
                  <v>67.1964</v>
                </pt>
                <pt idx="2">
                  <v>69.11020000000001</v>
                </pt>
                <pt idx="3">
                  <v>63.8859</v>
                </pt>
                <pt idx="4">
                  <v>63.8306</v>
                </pt>
                <pt idx="5">
                  <v>71.4194</v>
                </pt>
                <pt idx="6">
                  <v>68.759</v>
                </pt>
                <pt idx="7">
                  <v>67.72620000000001</v>
                </pt>
                <pt idx="8">
                  <v>68.5364</v>
                </pt>
                <pt idx="9">
                  <v>70.1725</v>
                </pt>
              </numCache>
            </numRef>
          </yVal>
          <smooth val="0"/>
        </ser>
        <ser>
          <idx val="1"/>
          <order val="1"/>
          <tx>
            <strRef>
              <f>YORUM!$C$57</f>
              <strCache>
                <ptCount val="1"/>
                <pt idx="0">
                  <v>Karacabey</v>
                </pt>
              </strCache>
            </strRef>
          </tx>
          <spPr>
            <a:ln w="28575" cap="rnd">
              <a:noFill/>
              <a:prstDash val="solid"/>
              <a:round/>
            </a:ln>
          </spPr>
          <marker>
            <symbol val="circle"/>
            <size val="5"/>
            <spPr>
              <a:solidFill>
                <a:schemeClr val="accent2"/>
              </a:solidFill>
              <a:ln w="9525">
                <a:solidFill>
                  <a:schemeClr val="accent2"/>
                </a:solidFill>
                <a:prstDash val="solid"/>
              </a:ln>
            </spPr>
          </marker>
          <xVal>
            <strRef>
              <f>YORUM!$A$58:$A$67</f>
              <strCache>
                <ptCount val="10"/>
                <pt idx="0">
                  <v xml:space="preserve">S1 </v>
                </pt>
                <pt idx="1">
                  <v xml:space="preserve">S2 </v>
                </pt>
                <pt idx="2">
                  <v xml:space="preserve">S3 </v>
                </pt>
                <pt idx="3">
                  <v xml:space="preserve">S4 </v>
                </pt>
                <pt idx="4">
                  <v xml:space="preserve">S5 </v>
                </pt>
                <pt idx="5">
                  <v xml:space="preserve">S6 </v>
                </pt>
                <pt idx="6">
                  <v xml:space="preserve">S7 </v>
                </pt>
                <pt idx="7">
                  <v xml:space="preserve">S8 </v>
                </pt>
                <pt idx="8">
                  <v xml:space="preserve">S9 </v>
                </pt>
                <pt idx="9">
                  <v xml:space="preserve">S10 </v>
                </pt>
              </strCache>
            </strRef>
          </xVal>
          <yVal>
            <numRef>
              <f>YORUM!$C$58:$C$67</f>
              <numCache>
                <formatCode>General</formatCode>
                <ptCount val="10"/>
                <pt idx="0">
                  <v>66.5046</v>
                </pt>
                <pt idx="1">
                  <v>58.1257</v>
                </pt>
                <pt idx="2">
                  <v>64.4922</v>
                </pt>
                <pt idx="3">
                  <v>58.9398</v>
                </pt>
                <pt idx="4">
                  <v>60.7476</v>
                </pt>
                <pt idx="5">
                  <v>65.2025</v>
                </pt>
                <pt idx="6">
                  <v>64.2234</v>
                </pt>
                <pt idx="7">
                  <v>63.7804</v>
                </pt>
                <pt idx="8">
                  <v>64.7625</v>
                </pt>
                <pt idx="9">
                  <v>64.0817</v>
                </pt>
              </numCache>
            </numRef>
          </yVal>
          <smooth val="0"/>
        </ser>
        <ser>
          <idx val="2"/>
          <order val="2"/>
          <tx>
            <strRef>
              <f>YORUM!$D$57</f>
              <strCache>
                <ptCount val="1"/>
                <pt idx="0">
                  <v>Gözlü</v>
                </pt>
              </strCache>
            </strRef>
          </tx>
          <spPr>
            <a:ln w="28575" cap="rnd">
              <a:noFill/>
              <a:prstDash val="solid"/>
              <a:round/>
            </a:ln>
          </spPr>
          <marker>
            <symbol val="circle"/>
            <size val="5"/>
            <spPr>
              <a:solidFill>
                <a:schemeClr val="accent3"/>
              </a:solidFill>
              <a:ln w="9525">
                <a:solidFill>
                  <a:schemeClr val="accent3"/>
                </a:solidFill>
                <a:prstDash val="solid"/>
              </a:ln>
            </spPr>
          </marker>
          <xVal>
            <strRef>
              <f>YORUM!$A$58:$A$67</f>
              <strCache>
                <ptCount val="10"/>
                <pt idx="0">
                  <v xml:space="preserve">S1 </v>
                </pt>
                <pt idx="1">
                  <v xml:space="preserve">S2 </v>
                </pt>
                <pt idx="2">
                  <v xml:space="preserve">S3 </v>
                </pt>
                <pt idx="3">
                  <v xml:space="preserve">S4 </v>
                </pt>
                <pt idx="4">
                  <v xml:space="preserve">S5 </v>
                </pt>
                <pt idx="5">
                  <v xml:space="preserve">S6 </v>
                </pt>
                <pt idx="6">
                  <v xml:space="preserve">S7 </v>
                </pt>
                <pt idx="7">
                  <v xml:space="preserve">S8 </v>
                </pt>
                <pt idx="8">
                  <v xml:space="preserve">S9 </v>
                </pt>
                <pt idx="9">
                  <v xml:space="preserve">S10 </v>
                </pt>
              </strCache>
            </strRef>
          </xVal>
          <yVal>
            <numRef>
              <f>YORUM!$D$58:$D$67</f>
              <numCache>
                <formatCode>General</formatCode>
                <ptCount val="10"/>
                <pt idx="0">
                  <v>58.1471</v>
                </pt>
                <pt idx="1">
                  <v>53.968</v>
                </pt>
                <pt idx="2">
                  <v>62.5748</v>
                </pt>
                <pt idx="3">
                  <v>59.5523</v>
                </pt>
                <pt idx="4">
                  <v>60.859</v>
                </pt>
                <pt idx="5">
                  <v>60.4271</v>
                </pt>
                <pt idx="6">
                  <v>63.0382</v>
                </pt>
                <pt idx="7">
                  <v>62.3531</v>
                </pt>
                <pt idx="8">
                  <v>64.4808</v>
                </pt>
                <pt idx="9">
                  <v>59.3225</v>
                </pt>
              </numCache>
            </numRef>
          </yVal>
          <smooth val="0"/>
        </ser>
        <dLbls>
          <showLegendKey val="0"/>
          <showVal val="0"/>
          <showCatName val="0"/>
          <showSerName val="0"/>
          <showPercent val="0"/>
          <showBubbleSize val="0"/>
        </dLbls>
        <axId val="506938736"/>
        <axId val="506939064"/>
      </scatterChart>
      <valAx>
        <axId val="506938736"/>
        <scaling>
          <orientation val="minMax"/>
          <max val="10"/>
          <min val="1"/>
        </scaling>
        <delete val="0"/>
        <axPos val="b"/>
        <majorGridlines>
          <spPr>
            <a:ln w="9525" cap="flat" cmpd="sng" algn="ctr">
              <a:solidFill>
                <a:schemeClr val="tx1">
                  <a:lumMod val="15000"/>
                  <a:lumOff val="85000"/>
                </a:schemeClr>
              </a:solidFill>
              <a:prstDash val="solid"/>
              <a:round/>
            </a:ln>
          </spPr>
        </majorGridlines>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tr-TR"/>
          </a:p>
        </txPr>
        <crossAx val="506939064"/>
        <crosses val="autoZero"/>
        <crossBetween val="midCat"/>
        <majorUnit val="1"/>
      </valAx>
      <valAx>
        <axId val="506939064"/>
        <scaling>
          <orientation val="minMax"/>
          <min val="50"/>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tr-TR"/>
          </a:p>
        </txPr>
        <crossAx val="506938736"/>
        <crosses val="autoZero"/>
        <crossBetween val="midCat"/>
      </valAx>
    </plotArea>
    <legend>
      <legendPos val="b"/>
      <layou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tr-TR" sz="1400" b="0" i="0" strike="noStrike" baseline="0">
                <effectLst/>
              </a:rPr>
              <a:t>Dört ana blok skorları</a:t>
            </a:r>
            <a:r>
              <a:rPr lang="tr-TR" sz="1400" b="0" i="0" strike="noStrike" baseline="0"/>
              <a:t> </a:t>
            </a:r>
            <a:endParaRPr lang="tr-TR"/>
          </a:p>
        </rich>
      </tx>
      <layout/>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barChart>
        <barDir val="bar"/>
        <grouping val="clustered"/>
        <varyColors val="0"/>
        <ser>
          <idx val="0"/>
          <order val="0"/>
          <tx>
            <strRef>
              <f>YORUM!$A$74</f>
              <strCache>
                <ptCount val="1"/>
                <pt idx="0">
                  <v>Ceylanpınar</v>
                </pt>
              </strCache>
            </strRef>
          </tx>
          <spPr>
            <a:solidFill>
              <a:schemeClr val="accent1"/>
            </a:solidFill>
            <a:ln>
              <a:noFill/>
              <a:prstDash val="solid"/>
            </a:ln>
          </spPr>
          <invertIfNegative val="0"/>
          <cat>
            <strRef>
              <f>YORUM!$B$73:$E$73</f>
              <strCache>
                <ptCount val="4"/>
                <pt idx="0">
                  <v>Çevre (E)</v>
                </pt>
                <pt idx="1">
                  <v>Sosyal (S)</v>
                </pt>
                <pt idx="2">
                  <v>Yönetişim (G)</v>
                </pt>
                <pt idx="3">
                  <v>Finansal/Operasyonel (FO)</v>
                </pt>
              </strCache>
            </strRef>
          </cat>
          <val>
            <numRef>
              <f>YORUM!$B$74:$E$74</f>
              <numCache>
                <formatCode>General</formatCode>
                <ptCount val="4"/>
                <pt idx="0">
                  <v>80.66</v>
                </pt>
                <pt idx="1">
                  <v>67.34999999999999</v>
                </pt>
                <pt idx="2">
                  <v>62.19</v>
                </pt>
                <pt idx="3">
                  <v>66.23999999999999</v>
                </pt>
              </numCache>
            </numRef>
          </val>
        </ser>
        <ser>
          <idx val="1"/>
          <order val="1"/>
          <tx>
            <strRef>
              <f>YORUM!$A$75</f>
              <strCache>
                <ptCount val="1"/>
                <pt idx="0">
                  <v>Karacabey</v>
                </pt>
              </strCache>
            </strRef>
          </tx>
          <spPr>
            <a:solidFill>
              <a:schemeClr val="accent2"/>
            </a:solidFill>
            <a:ln>
              <a:noFill/>
              <a:prstDash val="solid"/>
            </a:ln>
          </spPr>
          <invertIfNegative val="0"/>
          <cat>
            <strRef>
              <f>YORUM!$B$73:$E$73</f>
              <strCache>
                <ptCount val="4"/>
                <pt idx="0">
                  <v>Çevre (E)</v>
                </pt>
                <pt idx="1">
                  <v>Sosyal (S)</v>
                </pt>
                <pt idx="2">
                  <v>Yönetişim (G)</v>
                </pt>
                <pt idx="3">
                  <v>Finansal/Operasyonel (FO)</v>
                </pt>
              </strCache>
            </strRef>
          </cat>
          <val>
            <numRef>
              <f>YORUM!$B$75:$E$75</f>
              <numCache>
                <formatCode>General</formatCode>
                <ptCount val="4"/>
                <pt idx="0">
                  <v>68.04000000000001</v>
                </pt>
                <pt idx="1">
                  <v>63.15</v>
                </pt>
                <pt idx="2">
                  <v>60.93</v>
                </pt>
                <pt idx="3">
                  <v>65.84</v>
                </pt>
              </numCache>
            </numRef>
          </val>
        </ser>
        <ser>
          <idx val="2"/>
          <order val="2"/>
          <tx>
            <strRef>
              <f>YORUM!$A$76</f>
              <strCache>
                <ptCount val="1"/>
                <pt idx="0">
                  <v>Gözlü</v>
                </pt>
              </strCache>
            </strRef>
          </tx>
          <spPr>
            <a:solidFill>
              <a:schemeClr val="accent3"/>
            </a:solidFill>
            <a:ln>
              <a:noFill/>
              <a:prstDash val="solid"/>
            </a:ln>
          </spPr>
          <invertIfNegative val="0"/>
          <cat>
            <strRef>
              <f>YORUM!$B$73:$E$73</f>
              <strCache>
                <ptCount val="4"/>
                <pt idx="0">
                  <v>Çevre (E)</v>
                </pt>
                <pt idx="1">
                  <v>Sosyal (S)</v>
                </pt>
                <pt idx="2">
                  <v>Yönetişim (G)</v>
                </pt>
                <pt idx="3">
                  <v>Finansal/Operasyonel (FO)</v>
                </pt>
              </strCache>
            </strRef>
          </cat>
          <val>
            <numRef>
              <f>YORUM!$B$76:$E$76</f>
              <numCache>
                <formatCode>General</formatCode>
                <ptCount val="4"/>
                <pt idx="0">
                  <v>51.84</v>
                </pt>
                <pt idx="1">
                  <v>64.89</v>
                </pt>
                <pt idx="2">
                  <v>61.47</v>
                </pt>
                <pt idx="3">
                  <v>72.09999999999999</v>
                </pt>
              </numCache>
            </numRef>
          </val>
        </ser>
        <ser>
          <idx val="3"/>
          <order val="3"/>
          <spPr>
            <a:solidFill>
              <a:schemeClr val="accent4"/>
            </a:solidFill>
            <a:ln>
              <a:noFill/>
              <a:prstDash val="solid"/>
            </a:ln>
          </spPr>
          <invertIfNegative val="0"/>
          <cat>
            <strRef>
              <f>YORUM!$B$73:$E$73</f>
              <strCache>
                <ptCount val="4"/>
                <pt idx="0">
                  <v>Çevre (E)</v>
                </pt>
                <pt idx="1">
                  <v>Sosyal (S)</v>
                </pt>
                <pt idx="2">
                  <v>Yönetişim (G)</v>
                </pt>
                <pt idx="3">
                  <v>Finansal/Operasyonel (FO)</v>
                </pt>
              </strCache>
            </strRef>
          </cat>
          <val>
            <numRef>
              <f>YORUM!$A$72</f>
              <numCache>
                <formatCode>General</formatCode>
                <ptCount val="1"/>
                <pt idx="0">
                  <v>0</v>
                </pt>
              </numCache>
            </numRef>
          </val>
        </ser>
        <dLbls>
          <showLegendKey val="0"/>
          <showVal val="0"/>
          <showCatName val="0"/>
          <showSerName val="0"/>
          <showPercent val="0"/>
          <showBubbleSize val="0"/>
        </dLbls>
        <gapWidth val="182"/>
        <axId val="623659640"/>
        <axId val="623663904"/>
      </barChart>
      <catAx>
        <axId val="62365964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tr-TR"/>
          </a:p>
        </txPr>
        <crossAx val="623663904"/>
        <crosses val="autoZero"/>
        <auto val="1"/>
        <lblAlgn val="ctr"/>
        <lblOffset val="100"/>
        <noMultiLvlLbl val="0"/>
      </catAx>
      <valAx>
        <axId val="623663904"/>
        <scaling>
          <orientation val="minMax"/>
        </scaling>
        <delete val="0"/>
        <axPos val="b"/>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tr-TR"/>
          </a:p>
        </txPr>
        <crossAx val="623659640"/>
        <crosses val="autoZero"/>
        <crossBetween val="between"/>
      </valAx>
    </plotArea>
    <legend>
      <legendPos val="b"/>
      <layou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col>
      <colOff>674370</colOff>
      <row>55</row>
      <rowOff>0</rowOff>
    </from>
    <to>
      <col>12</col>
      <colOff>118110</colOff>
      <row>69</row>
      <rowOff>167640</rowOff>
    </to>
    <graphicFrame>
      <nvGraphicFramePr>
        <cNvPr id="1" name="Chart 1"/>
        <cNvGraphicFramePr/>
      </nvGraphicFramePr>
      <xfrm/>
      <a:graphic>
        <a:graphicData uri="http://schemas.openxmlformats.org/drawingml/2006/chart">
          <c:chart r:id="rId1"/>
        </a:graphicData>
      </a:graphic>
    </graphicFrame>
    <clientData/>
  </twoCellAnchor>
  <twoCellAnchor>
    <from>
      <col>5</col>
      <colOff>521970</colOff>
      <row>72</row>
      <rowOff>91440</rowOff>
    </from>
    <to>
      <col>13</col>
      <colOff>217170</colOff>
      <row>87</row>
      <rowOff>83820</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Sayfa8">
    <outlinePr summaryBelow="1" summaryRight="1"/>
    <pageSetUpPr/>
  </sheetPr>
  <dimension ref="A2:H31"/>
  <sheetViews>
    <sheetView showGridLines="0" workbookViewId="0">
      <pane xSplit="1" ySplit="6" topLeftCell="F7" activePane="bottomRight" state="frozen"/>
      <selection pane="topRight" activeCell="A1" sqref="A1"/>
      <selection pane="bottomLeft" activeCell="A1" sqref="A1"/>
      <selection pane="bottomRight" activeCell="D25" sqref="D25"/>
    </sheetView>
  </sheetViews>
  <sheetFormatPr baseColWidth="8" defaultRowHeight="15"/>
  <cols>
    <col width="18" customWidth="1" style="452" min="2" max="2"/>
    <col width="18" customWidth="1" style="452" min="3" max="3"/>
    <col width="24" customWidth="1" style="452" min="4" max="4"/>
    <col width="16" customWidth="1" style="452" min="5" max="5"/>
    <col width="30.140625" customWidth="1" style="452" min="6" max="6"/>
    <col width="31" customWidth="1" style="452" min="7" max="7"/>
  </cols>
  <sheetData>
    <row r="2" ht="19.5" customHeight="1" s="452">
      <c r="B2" s="425" t="inlineStr">
        <is>
          <t>AHP Hiyerarşi Çalışma Sayfaları</t>
        </is>
      </c>
    </row>
    <row r="4">
      <c r="B4" s="427" t="inlineStr">
        <is>
          <t>Bu dosyada 1 ana blok, 4 alt grup ve 13 gösterge matrisi düzeyinde olmak üzere toplam 18 AHP çalışma sayfası vardır.</t>
        </is>
      </c>
    </row>
    <row r="6">
      <c r="B6" s="344" t="inlineStr">
        <is>
          <t>Düzey</t>
        </is>
      </c>
      <c r="C6" s="345" t="inlineStr">
        <is>
          <t>Bağlı Olduğu Yapı</t>
        </is>
      </c>
      <c r="D6" s="345" t="inlineStr">
        <is>
          <t>Karşılaştırma Grubu</t>
        </is>
      </c>
      <c r="E6" s="345" t="inlineStr">
        <is>
          <t>İçerik</t>
        </is>
      </c>
      <c r="F6" s="260" t="inlineStr">
        <is>
          <t>Karşılaştırılan Parametre Sayısı sayısı</t>
        </is>
      </c>
      <c r="G6" s="260" t="inlineStr">
        <is>
          <t>Sayfa adı</t>
        </is>
      </c>
    </row>
    <row r="7">
      <c r="A7" t="n">
        <v>1</v>
      </c>
      <c r="B7" s="292" t="inlineStr">
        <is>
          <t>Ana blok</t>
        </is>
      </c>
      <c r="C7" s="292" t="inlineStr">
        <is>
          <t>TSGS</t>
        </is>
      </c>
      <c r="D7" s="292" t="inlineStr">
        <is>
          <t>Ana Bloklar</t>
        </is>
      </c>
      <c r="E7" s="292" t="inlineStr">
        <is>
          <t>Ana bloklar</t>
        </is>
      </c>
      <c r="F7" s="342" t="n">
        <v>4</v>
      </c>
      <c r="G7" s="244" t="inlineStr">
        <is>
          <t>ESG_FO_AnaBlok</t>
        </is>
      </c>
    </row>
    <row r="8">
      <c r="A8" t="n">
        <v>2</v>
      </c>
      <c r="B8" s="292" t="inlineStr">
        <is>
          <t>Alt Grup</t>
        </is>
      </c>
      <c r="C8" s="292" t="inlineStr">
        <is>
          <t>Ana Bloklar</t>
        </is>
      </c>
      <c r="D8" s="292" t="inlineStr">
        <is>
          <t>Çevre</t>
        </is>
      </c>
      <c r="E8" s="292" t="inlineStr">
        <is>
          <t>Alt gruplar</t>
        </is>
      </c>
      <c r="F8" s="432" t="n">
        <v>4</v>
      </c>
      <c r="G8" s="430" t="inlineStr">
        <is>
          <t>E_AltGruplar</t>
        </is>
      </c>
    </row>
    <row r="9">
      <c r="A9" t="n">
        <v>3</v>
      </c>
      <c r="B9" s="292" t="inlineStr">
        <is>
          <t>Gösterge</t>
        </is>
      </c>
      <c r="C9" s="292" t="inlineStr">
        <is>
          <t>Çevre</t>
        </is>
      </c>
      <c r="D9" s="292" t="inlineStr">
        <is>
          <t>Enerji ve Emisyonlar</t>
        </is>
      </c>
      <c r="E9" s="292" t="inlineStr">
        <is>
          <t>Göstergeler</t>
        </is>
      </c>
      <c r="F9" s="432" t="n">
        <v>7</v>
      </c>
      <c r="G9" s="430" t="inlineStr">
        <is>
          <t>E_EnerjiEmis</t>
        </is>
      </c>
    </row>
    <row r="10">
      <c r="A10" t="n">
        <v>4</v>
      </c>
      <c r="B10" s="292" t="inlineStr">
        <is>
          <t>Gösterge</t>
        </is>
      </c>
      <c r="C10" s="292" t="inlineStr">
        <is>
          <t>Çevre</t>
        </is>
      </c>
      <c r="D10" s="292" t="inlineStr">
        <is>
          <t>Su Yönetimi</t>
        </is>
      </c>
      <c r="E10" s="292" t="inlineStr">
        <is>
          <t>Göstergeler</t>
        </is>
      </c>
      <c r="F10" s="432" t="n">
        <v>7</v>
      </c>
      <c r="G10" s="430" t="inlineStr">
        <is>
          <t>E_AltGruplar</t>
        </is>
      </c>
    </row>
    <row r="11">
      <c r="A11" t="n">
        <v>5</v>
      </c>
      <c r="B11" s="292" t="inlineStr">
        <is>
          <t>Gösterge</t>
        </is>
      </c>
      <c r="C11" s="292" t="inlineStr">
        <is>
          <t>Çevre</t>
        </is>
      </c>
      <c r="D11" s="292" t="inlineStr">
        <is>
          <t>Biyoçeşitlilik ve Toprak</t>
        </is>
      </c>
      <c r="E11" s="292" t="inlineStr">
        <is>
          <t>Göstergeler</t>
        </is>
      </c>
      <c r="F11" s="432" t="n">
        <v>5</v>
      </c>
      <c r="G11" s="430" t="inlineStr">
        <is>
          <t>E_AltGruplar</t>
        </is>
      </c>
    </row>
    <row r="12">
      <c r="A12" t="n">
        <v>6</v>
      </c>
      <c r="B12" s="292" t="inlineStr">
        <is>
          <t>Gösterge</t>
        </is>
      </c>
      <c r="C12" s="292" t="inlineStr">
        <is>
          <t>Çevre</t>
        </is>
      </c>
      <c r="D12" s="292" t="inlineStr">
        <is>
          <t>Atıklar ve Kimyasallar</t>
        </is>
      </c>
      <c r="E12" s="292" t="inlineStr">
        <is>
          <t>Göstergeler</t>
        </is>
      </c>
      <c r="F12" s="432" t="n">
        <v>7</v>
      </c>
      <c r="G12" s="430" t="inlineStr">
        <is>
          <t>E_AltGruplar</t>
        </is>
      </c>
    </row>
    <row r="13">
      <c r="A13" t="n">
        <v>7</v>
      </c>
      <c r="B13" s="292" t="inlineStr">
        <is>
          <t>Alt Grup</t>
        </is>
      </c>
      <c r="C13" s="292" t="inlineStr">
        <is>
          <t>Ana Bloklar</t>
        </is>
      </c>
      <c r="D13" s="292" t="inlineStr">
        <is>
          <t>Sosyal</t>
        </is>
      </c>
      <c r="E13" s="292" t="inlineStr">
        <is>
          <t>Alt Gruplar</t>
        </is>
      </c>
      <c r="F13" s="343" t="n">
        <v>3</v>
      </c>
      <c r="G13" s="244" t="inlineStr">
        <is>
          <t>E_AtikKimya</t>
        </is>
      </c>
    </row>
    <row r="14">
      <c r="A14" t="n">
        <v>8</v>
      </c>
      <c r="B14" s="292" t="inlineStr">
        <is>
          <t>Gösterge</t>
        </is>
      </c>
      <c r="C14" s="292" t="inlineStr">
        <is>
          <t>Sosyal</t>
        </is>
      </c>
      <c r="D14" s="292" t="inlineStr">
        <is>
          <t>İşgücü/İstihdam</t>
        </is>
      </c>
      <c r="E14" s="292" t="inlineStr">
        <is>
          <t>Göstergeler</t>
        </is>
      </c>
      <c r="F14" s="430" t="n">
        <v>9</v>
      </c>
      <c r="G14" s="244" t="inlineStr">
        <is>
          <t>S_AltGruplar</t>
        </is>
      </c>
    </row>
    <row r="15">
      <c r="A15" t="n">
        <v>9</v>
      </c>
      <c r="B15" s="292" t="inlineStr">
        <is>
          <t>Gösterge</t>
        </is>
      </c>
      <c r="C15" s="292" t="inlineStr">
        <is>
          <t>Sosyal</t>
        </is>
      </c>
      <c r="D15" s="292" t="inlineStr">
        <is>
          <t xml:space="preserve">Çalışma Koşullaru </t>
        </is>
      </c>
      <c r="E15" s="292" t="inlineStr">
        <is>
          <t>Göstergeler</t>
        </is>
      </c>
      <c r="F15" s="430" t="n">
        <v>8</v>
      </c>
      <c r="G15" s="244" t="inlineStr">
        <is>
          <t>S_IsgucuIst</t>
        </is>
      </c>
    </row>
    <row r="16">
      <c r="A16" t="n">
        <v>10</v>
      </c>
      <c r="B16" s="292" t="inlineStr">
        <is>
          <t>Gösterge</t>
        </is>
      </c>
      <c r="C16" s="292" t="inlineStr">
        <is>
          <t>Sosyal</t>
        </is>
      </c>
      <c r="D16" s="292" t="inlineStr">
        <is>
          <t>Toplum / Kişisel Koruma</t>
        </is>
      </c>
      <c r="E16" s="292" t="inlineStr">
        <is>
          <t>Göstergeler</t>
        </is>
      </c>
      <c r="F16" s="430" t="n">
        <v>3</v>
      </c>
      <c r="G16" s="244" t="inlineStr">
        <is>
          <t>S_AltGruplar</t>
        </is>
      </c>
    </row>
    <row r="17">
      <c r="A17" t="n">
        <v>11</v>
      </c>
      <c r="B17" s="292" t="inlineStr">
        <is>
          <t>Alt Grup</t>
        </is>
      </c>
      <c r="C17" s="292" t="inlineStr">
        <is>
          <t>Ana Bloklar</t>
        </is>
      </c>
      <c r="D17" s="292" t="inlineStr">
        <is>
          <t>Yönetişim</t>
        </is>
      </c>
      <c r="E17" s="292" t="inlineStr">
        <is>
          <t>Alt Gruplar</t>
        </is>
      </c>
      <c r="F17" s="430" t="n">
        <v>2</v>
      </c>
      <c r="G17" s="244" t="inlineStr">
        <is>
          <t>S_CalismaKos</t>
        </is>
      </c>
    </row>
    <row r="18">
      <c r="A18" t="n">
        <v>12</v>
      </c>
      <c r="B18" s="292" t="inlineStr">
        <is>
          <t>Gösterge</t>
        </is>
      </c>
      <c r="C18" s="292" t="inlineStr">
        <is>
          <t>Yönetişim</t>
        </is>
      </c>
      <c r="D18" s="292" t="inlineStr">
        <is>
          <t>Uyum ve Politika</t>
        </is>
      </c>
      <c r="E18" s="292" t="inlineStr">
        <is>
          <t>Göstergeler</t>
        </is>
      </c>
      <c r="F18" s="430" t="n">
        <v>12</v>
      </c>
      <c r="G18" s="244" t="inlineStr">
        <is>
          <t>S_AltGruplar</t>
        </is>
      </c>
    </row>
    <row r="19">
      <c r="A19" t="n">
        <v>13</v>
      </c>
      <c r="B19" s="292" t="inlineStr">
        <is>
          <t>Gösterge</t>
        </is>
      </c>
      <c r="C19" s="292" t="inlineStr">
        <is>
          <t>Yönetişim</t>
        </is>
      </c>
      <c r="D19" s="292" t="inlineStr">
        <is>
          <t>Tedarik Zinciri ve Risk</t>
        </is>
      </c>
      <c r="E19" s="292" t="inlineStr">
        <is>
          <t>Göstergeler</t>
        </is>
      </c>
      <c r="F19" s="430" t="n">
        <v>7</v>
      </c>
      <c r="G19" s="244" t="inlineStr">
        <is>
          <t>S_ToplumKor</t>
        </is>
      </c>
    </row>
    <row r="20">
      <c r="A20" t="n">
        <v>14</v>
      </c>
      <c r="B20" s="292" t="inlineStr">
        <is>
          <t>Alt Grup</t>
        </is>
      </c>
      <c r="C20" s="292" t="inlineStr">
        <is>
          <t>Ana Bloklar</t>
        </is>
      </c>
      <c r="D20" s="292" t="inlineStr">
        <is>
          <t>Finans ve Operasyon</t>
        </is>
      </c>
      <c r="E20" s="292" t="inlineStr">
        <is>
          <t>Alt Gruplar</t>
        </is>
      </c>
      <c r="F20" s="430" t="n">
        <v>4</v>
      </c>
      <c r="G20" s="244" t="inlineStr">
        <is>
          <t>S_UyumPolit</t>
        </is>
      </c>
    </row>
    <row r="21">
      <c r="A21" t="n">
        <v>15</v>
      </c>
      <c r="B21" s="292" t="inlineStr">
        <is>
          <t>Gösterge</t>
        </is>
      </c>
      <c r="C21" s="292" t="inlineStr">
        <is>
          <t>Finans ve Operasyon</t>
        </is>
      </c>
      <c r="D21" s="292" t="inlineStr">
        <is>
          <t>Finansal</t>
        </is>
      </c>
      <c r="E21" s="292" t="inlineStr">
        <is>
          <t>Göstergeler</t>
        </is>
      </c>
      <c r="F21" s="430" t="n">
        <v>6</v>
      </c>
      <c r="G21" s="244" t="inlineStr">
        <is>
          <t>G_AltGruplar</t>
        </is>
      </c>
    </row>
    <row r="22">
      <c r="A22" t="n">
        <v>16</v>
      </c>
      <c r="B22" s="292" t="inlineStr">
        <is>
          <t>Gösterge</t>
        </is>
      </c>
      <c r="C22" s="292" t="inlineStr">
        <is>
          <t>Finans ve Operasyon</t>
        </is>
      </c>
      <c r="D22" s="292" t="inlineStr">
        <is>
          <t>Operasyonel</t>
        </is>
      </c>
      <c r="E22" s="292" t="inlineStr">
        <is>
          <t>Göstergeler</t>
        </is>
      </c>
      <c r="F22" s="430" t="n">
        <v>5</v>
      </c>
      <c r="G22" s="244" t="inlineStr">
        <is>
          <t>G_AltGruplar</t>
        </is>
      </c>
    </row>
    <row r="23">
      <c r="A23" t="n">
        <v>17</v>
      </c>
      <c r="B23" s="292" t="inlineStr">
        <is>
          <t>Gösterge</t>
        </is>
      </c>
      <c r="C23" s="292" t="inlineStr">
        <is>
          <t>Finans ve Operasyon</t>
        </is>
      </c>
      <c r="D23" s="292" t="inlineStr">
        <is>
          <t>Hayvancılık</t>
        </is>
      </c>
      <c r="E23" s="292" t="inlineStr">
        <is>
          <t>Göstergeler</t>
        </is>
      </c>
      <c r="F23" s="430" t="n">
        <v>8</v>
      </c>
      <c r="G23" s="244" t="inlineStr">
        <is>
          <t>G_TedarikRisk</t>
        </is>
      </c>
    </row>
    <row r="24">
      <c r="A24" t="n">
        <v>18</v>
      </c>
      <c r="B24" s="292" t="inlineStr">
        <is>
          <t>Gösterge</t>
        </is>
      </c>
      <c r="C24" s="292" t="inlineStr">
        <is>
          <t>Finans ve Operasyon</t>
        </is>
      </c>
      <c r="D24" s="292" t="inlineStr">
        <is>
          <t>Bitkisel Üretim</t>
        </is>
      </c>
      <c r="E24" s="292" t="inlineStr">
        <is>
          <t>Göstergeler</t>
        </is>
      </c>
      <c r="F24" s="430" t="n">
        <v>4</v>
      </c>
      <c r="G24" s="244" t="inlineStr">
        <is>
          <t>FO_AltGruplar</t>
        </is>
      </c>
    </row>
    <row r="25">
      <c r="B25" s="340" t="n"/>
      <c r="C25" s="340" t="n"/>
      <c r="D25" s="340" t="n"/>
      <c r="E25" s="340" t="n"/>
      <c r="F25" s="244" t="n"/>
      <c r="G25" s="244" t="n"/>
    </row>
    <row r="26">
      <c r="B26" s="244" t="n"/>
      <c r="C26" s="244" t="n"/>
      <c r="D26" s="244" t="n"/>
      <c r="E26" s="244" t="n"/>
      <c r="F26" s="244" t="n"/>
      <c r="G26" s="244" t="n"/>
    </row>
    <row r="27">
      <c r="B27" s="244" t="n"/>
      <c r="C27" s="244" t="n"/>
      <c r="D27" s="244" t="n"/>
      <c r="E27" s="244" t="n"/>
      <c r="F27" s="244" t="n"/>
      <c r="G27" s="244" t="n"/>
    </row>
    <row r="28">
      <c r="B28" s="244" t="n"/>
      <c r="C28" s="244" t="n"/>
      <c r="D28" s="244" t="n"/>
      <c r="E28" s="244" t="n"/>
      <c r="F28" s="244" t="n"/>
      <c r="G28" s="244" t="n"/>
    </row>
    <row r="29">
      <c r="B29" s="244" t="n"/>
      <c r="C29" s="244" t="n"/>
      <c r="D29" s="244" t="n"/>
      <c r="E29" s="244" t="n"/>
      <c r="F29" s="244" t="n"/>
      <c r="G29" s="244" t="n"/>
    </row>
    <row r="30">
      <c r="B30" s="244" t="n"/>
      <c r="C30" s="244" t="n"/>
      <c r="D30" s="244" t="n"/>
      <c r="E30" s="244" t="n"/>
      <c r="F30" s="244" t="n"/>
      <c r="G30" s="244" t="n"/>
    </row>
    <row r="31">
      <c r="B31" s="244" t="n"/>
      <c r="C31" s="244" t="n"/>
      <c r="D31" s="244" t="n"/>
      <c r="E31" s="244" t="n"/>
      <c r="F31" s="244" t="n"/>
      <c r="G31" s="244" t="n"/>
    </row>
  </sheetData>
  <mergeCells count="2">
    <mergeCell ref="B2:H2"/>
    <mergeCell ref="B4:H4"/>
  </mergeCells>
  <pageMargins left="0.75" right="0.75" top="1" bottom="1" header="0.5" footer="0.5"/>
</worksheet>
</file>

<file path=xl/worksheets/sheet2.xml><?xml version="1.0" encoding="utf-8"?>
<worksheet xmlns="http://schemas.openxmlformats.org/spreadsheetml/2006/main">
  <sheetPr codeName="Sayfa19">
    <outlinePr summaryBelow="1" summaryRight="1"/>
    <pageSetUpPr/>
  </sheetPr>
  <dimension ref="B2:H15"/>
  <sheetViews>
    <sheetView showGridLines="0" workbookViewId="0">
      <selection activeCell="A1" sqref="A1"/>
    </sheetView>
  </sheetViews>
  <sheetFormatPr baseColWidth="8" defaultRowHeight="15"/>
  <cols>
    <col width="22" customWidth="1" style="452" min="2" max="2"/>
    <col width="18" customWidth="1" style="452" min="3" max="8"/>
  </cols>
  <sheetData>
    <row r="2" ht="19.5" customHeight="1" s="452">
      <c r="B2" s="425" t="inlineStr">
        <is>
          <t>Uyarlama ve kullanım notu</t>
        </is>
      </c>
    </row>
    <row r="4" ht="42" customHeight="1" s="452">
      <c r="B4" s="239" t="inlineStr">
        <is>
          <t>Kapsam</t>
        </is>
      </c>
      <c r="C4" s="428" t="inlineStr">
        <is>
          <t>Bu çalışma kitabı, Osman Hoca’nın AHP şablonu korunarak E–S–G–FO ana bloklarının ilk düzey ikili karşılaştırmasını uygulamak üzere hazırlanmıştır.</t>
        </is>
      </c>
      <c r="D4" s="429" t="n"/>
      <c r="E4" s="429" t="n"/>
      <c r="F4" s="429" t="n"/>
      <c r="G4" s="429" t="n"/>
      <c r="H4" s="430" t="n"/>
    </row>
    <row r="5" ht="42" customHeight="1" s="452">
      <c r="B5" s="239" t="inlineStr">
        <is>
          <t>Giriş</t>
        </is>
      </c>
      <c r="C5" s="428" t="inlineStr">
        <is>
          <t>Uzman/karar verici, ESG_FO_AnaBlok sayfasındaki sarı hücrelere üst üçgendeki altı karşılaştırma değerini girecektir: E-S, E-G, E-FO, S-G, S-FO, G-FO.</t>
        </is>
      </c>
      <c r="D5" s="429" t="n"/>
      <c r="E5" s="429" t="n"/>
      <c r="F5" s="429" t="n"/>
      <c r="G5" s="429" t="n"/>
      <c r="H5" s="430" t="n"/>
    </row>
    <row r="6" ht="42" customHeight="1" s="452">
      <c r="B6" s="239" t="inlineStr">
        <is>
          <t>Ölçek</t>
        </is>
      </c>
      <c r="C6" s="428" t="inlineStr">
        <is>
          <t>Saaty 1–9 ölçeği kullanılmalıdır. Bir blok diğerinden daha az önemliyse 1/2, 1/3, …, 1/9 gibi ters değerler girilmelidir.</t>
        </is>
      </c>
      <c r="D6" s="429" t="n"/>
      <c r="E6" s="429" t="n"/>
      <c r="F6" s="429" t="n"/>
      <c r="G6" s="429" t="n"/>
      <c r="H6" s="430" t="n"/>
    </row>
    <row r="7" ht="42" customHeight="1" s="452">
      <c r="B7" s="239" t="inlineStr">
        <is>
          <t>Otomatik hesap</t>
        </is>
      </c>
      <c r="C7" s="428" t="inlineStr">
        <is>
          <t>Alt üçgen, sütun toplamları, normalize matris, yerel ağırlıklar, λmax, CI, RI ve CR otomatik hesaplanır.</t>
        </is>
      </c>
      <c r="D7" s="429" t="n"/>
      <c r="E7" s="429" t="n"/>
      <c r="F7" s="429" t="n"/>
      <c r="G7" s="429" t="n"/>
      <c r="H7" s="430" t="n"/>
    </row>
    <row r="8" ht="42" customHeight="1" s="452">
      <c r="B8" s="239" t="inlineStr">
        <is>
          <t>Yorum</t>
        </is>
      </c>
      <c r="C8" s="428" t="inlineStr">
        <is>
          <t>CR ≤ 0,10 genel pratik tutarlılık kontrolü olarak kabul edilir. CR yüksek çıkarsa ikili karşılaştırmalar gerekçeleriyle yeniden değerlendirilmelidir.</t>
        </is>
      </c>
      <c r="D8" s="429" t="n"/>
      <c r="E8" s="429" t="n"/>
      <c r="F8" s="429" t="n"/>
      <c r="G8" s="429" t="n"/>
      <c r="H8" s="430" t="n"/>
    </row>
    <row r="9" ht="42" customHeight="1" s="452">
      <c r="B9" s="239" t="inlineStr">
        <is>
          <t>Sonraki aşama</t>
        </is>
      </c>
      <c r="C9" s="428" t="inlineStr">
        <is>
          <t>Aynı mantıkla E, S, G ve FO alt grupları; daha sonra her alt grubun göstergeleri için ayrı matrisler oluşturulacaktır.</t>
        </is>
      </c>
      <c r="D9" s="429" t="n"/>
      <c r="E9" s="429" t="n"/>
      <c r="F9" s="429" t="n"/>
      <c r="G9" s="429" t="n"/>
      <c r="H9" s="430" t="n"/>
    </row>
    <row r="10" ht="42" customHeight="1" s="452">
      <c r="B10" s="239" t="inlineStr">
        <is>
          <t>Önemli ayrım</t>
        </is>
      </c>
      <c r="C10" s="428" t="inlineStr">
        <is>
          <t>Bu dosyada henüz uzman görüşü veya gerçek ikili karşılaştırma değeri girilmemiştir. Sarı hücreler boş bırakılmıştır; ağırlıklar veri girildikten sonra oluşacaktır.</t>
        </is>
      </c>
      <c r="D10" s="429" t="n"/>
      <c r="E10" s="429" t="n"/>
      <c r="F10" s="429" t="n"/>
      <c r="G10" s="429" t="n"/>
      <c r="H10" s="430" t="n"/>
    </row>
    <row r="12">
      <c r="B12" t="inlineStr">
        <is>
          <t>Düzeltme</t>
        </is>
      </c>
      <c r="C12" t="inlineStr">
        <is>
          <t>λmax hesabı Excel uyumluluğu için SUMPRODUCT yerine açık çarpım toplamı ile kurulmuştur.</t>
        </is>
      </c>
    </row>
    <row r="15">
      <c r="B15" t="inlineStr">
        <is>
          <t>Kapsamlı sürüm</t>
        </is>
      </c>
      <c r="C15" t="inlineStr">
        <is>
          <t>Hiyerarsi_Indeks sayfasından tüm ana blok, alt grup ve gösterge AHP sayfalarına geçebilirsiniz.</t>
        </is>
      </c>
    </row>
  </sheetData>
  <mergeCells count="10">
    <mergeCell ref="C6:H6"/>
    <mergeCell ref="C10:H10"/>
    <mergeCell ref="C5:H5"/>
    <mergeCell ref="C9:H9"/>
    <mergeCell ref="B2:H2"/>
    <mergeCell ref="C8:H8"/>
    <mergeCell ref="C4:H4"/>
    <mergeCell ref="C12:H12"/>
    <mergeCell ref="C7:H7"/>
    <mergeCell ref="C15:H15"/>
  </mergeCells>
  <pageMargins left="0.75" right="0.75" top="1" bottom="1" header="0.5" footer="0.5"/>
</worksheet>
</file>

<file path=xl/worksheets/sheet3.xml><?xml version="1.0" encoding="utf-8"?>
<worksheet xmlns="http://schemas.openxmlformats.org/spreadsheetml/2006/main">
  <sheetPr codeName="Sayfa39">
    <outlinePr summaryBelow="1" summaryRight="1"/>
    <pageSetUpPr/>
  </sheetPr>
  <dimension ref="B2:J35"/>
  <sheetViews>
    <sheetView showGridLines="0" workbookViewId="0">
      <pane xSplit="2" ySplit="8" topLeftCell="C18" activePane="bottomRight" state="frozen"/>
      <selection pane="topRight" activeCell="A1" sqref="A1"/>
      <selection pane="bottomLeft" activeCell="A1" sqref="A1"/>
      <selection pane="bottomRight" activeCell="B26" sqref="B26:B30"/>
    </sheetView>
  </sheetViews>
  <sheetFormatPr baseColWidth="8" defaultRowHeight="15"/>
  <cols>
    <col width="27" customWidth="1" style="452" min="2" max="2"/>
    <col width="20" customWidth="1" style="452" min="3" max="5"/>
    <col width="24" customWidth="1" style="452" min="6" max="6"/>
    <col width="18" customWidth="1" style="452" min="7" max="10"/>
  </cols>
  <sheetData>
    <row r="2" ht="19.5" customHeight="1" s="452">
      <c r="B2" s="425" t="inlineStr">
        <is>
          <t>AHP Ana Blok Ağırlıklandırması: E–S–G–FO</t>
        </is>
      </c>
    </row>
    <row r="4">
      <c r="B4" s="238" t="inlineStr">
        <is>
          <t>Amaç</t>
        </is>
      </c>
      <c r="C4" t="inlineStr">
        <is>
          <t>Tarım işletmelerinin bütünleşik sürdürülebilirlik performansının değerlendirilmesi</t>
        </is>
      </c>
    </row>
    <row r="5">
      <c r="B5" s="238" t="inlineStr">
        <is>
          <t>Karşılaştırma düzeyi</t>
        </is>
      </c>
      <c r="C5" t="inlineStr">
        <is>
          <t>Ana bloklar: Çevre (E), Sosyal (S), Yönetişim (G), Finans ve Operasyon (FO)</t>
        </is>
      </c>
    </row>
    <row r="7">
      <c r="B7" s="433" t="inlineStr">
        <is>
          <t>1. İkili karşılaştırma matrisi – uzman/karar verici giriş alanı</t>
        </is>
      </c>
    </row>
    <row r="8" ht="45" customHeight="1" s="452">
      <c r="C8" s="239" t="inlineStr">
        <is>
          <t>E – Çevre</t>
        </is>
      </c>
      <c r="D8" s="239" t="inlineStr">
        <is>
          <t>S – Sosyal</t>
        </is>
      </c>
      <c r="E8" s="239" t="inlineStr">
        <is>
          <t>G – Yönetişim</t>
        </is>
      </c>
      <c r="F8" s="239" t="inlineStr">
        <is>
          <t>FO – Finans ve Operasyon</t>
        </is>
      </c>
      <c r="H8" s="238" t="inlineStr">
        <is>
          <t>Giriş açıklaması</t>
        </is>
      </c>
    </row>
    <row r="9" ht="33.95" customHeight="1" s="452">
      <c r="B9" s="240" t="inlineStr">
        <is>
          <t>E – Çevre</t>
        </is>
      </c>
      <c r="C9" s="241" t="n">
        <v>1</v>
      </c>
      <c r="D9" s="242" t="n">
        <v>5</v>
      </c>
      <c r="E9" s="242" t="n">
        <v>6</v>
      </c>
      <c r="F9" s="242" t="n">
        <v>9</v>
      </c>
      <c r="H9" s="435" t="inlineStr">
        <is>
          <t>Sarı hücrelere yalnızca Saaty ölçeğinde 1, 2, …, 9 veya bunların karşılık değerlerini giriniz. Yeşil hücreler otomatik ters değerlerdir.</t>
        </is>
      </c>
    </row>
    <row r="10" ht="33.95" customHeight="1" s="452">
      <c r="B10" s="240" t="inlineStr">
        <is>
          <t>S – Sosyal</t>
        </is>
      </c>
      <c r="C10" s="243">
        <f>IFERROR(1/D9,"")</f>
        <v/>
      </c>
      <c r="D10" s="241" t="n">
        <v>1</v>
      </c>
      <c r="E10" s="242" t="n">
        <v>2</v>
      </c>
      <c r="F10" s="242" t="n">
        <v>4</v>
      </c>
    </row>
    <row r="11" ht="33.95" customHeight="1" s="452">
      <c r="B11" s="240" t="inlineStr">
        <is>
          <t>G – Yönetişim</t>
        </is>
      </c>
      <c r="C11" s="243">
        <f>IFERROR(1/E9,"")</f>
        <v/>
      </c>
      <c r="D11" s="243">
        <f>IFERROR(1/E10,"")</f>
        <v/>
      </c>
      <c r="E11" s="241" t="n">
        <v>1</v>
      </c>
      <c r="F11" s="242" t="n">
        <v>2</v>
      </c>
    </row>
    <row r="12" ht="33.95" customHeight="1" s="452">
      <c r="B12" s="240" t="inlineStr">
        <is>
          <t>FO – Finans ve Operasyon</t>
        </is>
      </c>
      <c r="C12" s="243">
        <f>IFERROR(1/F9,"")</f>
        <v/>
      </c>
      <c r="D12" s="243">
        <f>IFERROR(1/F10,"")</f>
        <v/>
      </c>
      <c r="E12" s="243">
        <f>IFERROR(1/F11,"")</f>
        <v/>
      </c>
      <c r="F12" s="241" t="n">
        <v>1</v>
      </c>
    </row>
    <row r="15">
      <c r="B15" s="433" t="inlineStr">
        <is>
          <t>2. Normalize matris ve yerel ağırlıklar</t>
        </is>
      </c>
    </row>
    <row r="16" ht="45" customHeight="1" s="452">
      <c r="C16" s="239" t="inlineStr">
        <is>
          <t>E – Çevre</t>
        </is>
      </c>
      <c r="D16" s="239" t="inlineStr">
        <is>
          <t>S – Sosyal</t>
        </is>
      </c>
      <c r="E16" s="239" t="inlineStr">
        <is>
          <t>G – Yönetişim</t>
        </is>
      </c>
      <c r="F16" s="239" t="inlineStr">
        <is>
          <t>FO – Finans ve Operasyon</t>
        </is>
      </c>
      <c r="G16" s="239" t="inlineStr">
        <is>
          <t>Yerel ağırlık</t>
        </is>
      </c>
    </row>
    <row r="17">
      <c r="B17" s="239" t="inlineStr">
        <is>
          <t>E – Çevre</t>
        </is>
      </c>
      <c r="C17" s="244">
        <f>IFERROR(C9/C$21,"")</f>
        <v/>
      </c>
      <c r="D17" s="244">
        <f>IFERROR(D9/D$21,"")</f>
        <v/>
      </c>
      <c r="E17" s="244">
        <f>IFERROR(E9/E$21,"")</f>
        <v/>
      </c>
      <c r="F17" s="244">
        <f>IFERROR(F9/F$21,"")</f>
        <v/>
      </c>
      <c r="G17" s="245">
        <f>IFERROR(AVERAGE(C17:F17),"")</f>
        <v/>
      </c>
    </row>
    <row r="18">
      <c r="B18" s="239" t="inlineStr">
        <is>
          <t>S – Sosyal</t>
        </is>
      </c>
      <c r="C18" s="244">
        <f>IFERROR(C10/C$21,"")</f>
        <v/>
      </c>
      <c r="D18" s="244">
        <f>IFERROR(D10/D$21,"")</f>
        <v/>
      </c>
      <c r="E18" s="244">
        <f>IFERROR(E10/E$21,"")</f>
        <v/>
      </c>
      <c r="F18" s="244">
        <f>IFERROR(F10/F$21,"")</f>
        <v/>
      </c>
      <c r="G18" s="245">
        <f>IFERROR(AVERAGE(C18:F18),"")</f>
        <v/>
      </c>
    </row>
    <row r="19">
      <c r="B19" s="239" t="inlineStr">
        <is>
          <t>G – Yönetişim</t>
        </is>
      </c>
      <c r="C19" s="244">
        <f>IFERROR(C11/C$21,"")</f>
        <v/>
      </c>
      <c r="D19" s="244">
        <f>IFERROR(D11/D$21,"")</f>
        <v/>
      </c>
      <c r="E19" s="244">
        <f>IFERROR(E11/E$21,"")</f>
        <v/>
      </c>
      <c r="F19" s="244">
        <f>IFERROR(F11/F$21,"")</f>
        <v/>
      </c>
      <c r="G19" s="245">
        <f>IFERROR(AVERAGE(C19:F19),"")</f>
        <v/>
      </c>
    </row>
    <row r="20">
      <c r="B20" s="239" t="inlineStr">
        <is>
          <t>FO – Finans ve Operasyon</t>
        </is>
      </c>
      <c r="C20" s="244">
        <f>IFERROR(C12/C$21,"")</f>
        <v/>
      </c>
      <c r="D20" s="244">
        <f>IFERROR(D12/D$21,"")</f>
        <v/>
      </c>
      <c r="E20" s="244">
        <f>IFERROR(E12/E$21,"")</f>
        <v/>
      </c>
      <c r="F20" s="244">
        <f>IFERROR(F12/F$21,"")</f>
        <v/>
      </c>
      <c r="G20" s="245">
        <f>IFERROR(AVERAGE(C20:F20),"")</f>
        <v/>
      </c>
    </row>
    <row r="21">
      <c r="B21" s="246" t="inlineStr">
        <is>
          <t>Sütun toplamı</t>
        </is>
      </c>
      <c r="C21" s="247">
        <f>SUM(C9:C12)</f>
        <v/>
      </c>
      <c r="D21" s="247">
        <f>SUM(D9:D12)</f>
        <v/>
      </c>
      <c r="E21" s="247">
        <f>SUM(E9:E12)</f>
        <v/>
      </c>
      <c r="F21" s="247">
        <f>SUM(F9:F12)</f>
        <v/>
      </c>
    </row>
    <row r="23">
      <c r="B23" t="inlineStr">
        <is>
          <t>Ağırlık toplamı</t>
        </is>
      </c>
      <c r="G23" s="453">
        <f>SUM(G17:G20)</f>
        <v/>
      </c>
    </row>
    <row r="25">
      <c r="B25" s="433" t="inlineStr">
        <is>
          <t>3. Tutarlılık analizi</t>
        </is>
      </c>
    </row>
    <row r="26">
      <c r="B26" s="249" t="inlineStr">
        <is>
          <t>λmax</t>
        </is>
      </c>
      <c r="G26" s="454">
        <f>C21*G17+D21*G18+E21*G19+F21*G20</f>
        <v/>
      </c>
    </row>
    <row r="27">
      <c r="B27" s="249" t="inlineStr">
        <is>
          <t>CI</t>
        </is>
      </c>
      <c r="G27" s="454">
        <f>IFERROR((G26-4)/(4-1),"")</f>
        <v/>
      </c>
    </row>
    <row r="28">
      <c r="B28" s="249" t="inlineStr">
        <is>
          <t>RI (n=4)</t>
        </is>
      </c>
      <c r="G28" s="244" t="n">
        <v>0.9</v>
      </c>
    </row>
    <row r="29">
      <c r="B29" s="249" t="inlineStr">
        <is>
          <t>CR</t>
        </is>
      </c>
      <c r="G29" s="454">
        <f>IFERROR(G27/G28,"")</f>
        <v/>
      </c>
    </row>
    <row r="30">
      <c r="B30" s="249" t="inlineStr">
        <is>
          <t>Karar</t>
        </is>
      </c>
      <c r="G30" s="244">
        <f>IF(COUNT(D9:F11)&lt;6,"Veri bekleniyor",IF(G29&lt;=0.1,"Tutarlı (CR ≤ 0,10)","Gözden geçirilmeli (CR &gt; 0,10)"))</f>
        <v/>
      </c>
    </row>
    <row r="32">
      <c r="B32" s="434" t="inlineStr">
        <is>
          <t>Not: Bu sayfa yalnızca E–S–G–FO ana bloklarının ağırlıklandırılması içindir. Alt grup ve gösterge matrisleri ayrı sayfalarda kurulacaktır.</t>
        </is>
      </c>
    </row>
    <row r="33"/>
    <row r="35">
      <c r="B35" t="inlineStr">
        <is>
          <t>Düzeltme notu</t>
        </is>
      </c>
      <c r="C35" t="inlineStr">
        <is>
          <t>λmax formülü satır-sütun boyut uyumsuzluğu nedeniyle #DEĞER! üretebiliyordu; açık çarpım formülüyle düzeltildi.</t>
        </is>
      </c>
    </row>
  </sheetData>
  <mergeCells count="9">
    <mergeCell ref="C4:J4"/>
    <mergeCell ref="H9:J12"/>
    <mergeCell ref="B32:J33"/>
    <mergeCell ref="C5:J5"/>
    <mergeCell ref="B2:J2"/>
    <mergeCell ref="B15:G15"/>
    <mergeCell ref="B7:G7"/>
    <mergeCell ref="B25:G25"/>
    <mergeCell ref="C35:J35"/>
  </mergeCells>
  <pageMargins left="0.75" right="0.75" top="1" bottom="1" header="0.5" footer="0.5"/>
</worksheet>
</file>

<file path=xl/worksheets/sheet4.xml><?xml version="1.0" encoding="utf-8"?>
<worksheet xmlns="http://schemas.openxmlformats.org/spreadsheetml/2006/main">
  <sheetPr codeName="Sayfa20">
    <outlinePr summaryBelow="1" summaryRight="1"/>
    <pageSetUpPr/>
  </sheetPr>
  <dimension ref="B2:J35"/>
  <sheetViews>
    <sheetView showGridLines="0" workbookViewId="0">
      <pane xSplit="2" ySplit="8" topLeftCell="D15" activePane="bottomRight" state="frozen"/>
      <selection pane="topRight" activeCell="A1" sqref="A1"/>
      <selection pane="bottomLeft" activeCell="A1" sqref="A1"/>
      <selection pane="bottomRight" activeCell="G17" sqref="G17:G20"/>
    </sheetView>
  </sheetViews>
  <sheetFormatPr baseColWidth="8" defaultRowHeight="15"/>
  <cols>
    <col width="27" customWidth="1" style="452" min="2" max="2"/>
    <col width="20" customWidth="1" style="452" min="3" max="5"/>
    <col width="24" customWidth="1" style="452" min="6" max="6"/>
    <col width="16.28515625" customWidth="1" style="452" min="7" max="7"/>
    <col width="18" customWidth="1" style="452" min="8" max="10"/>
  </cols>
  <sheetData>
    <row r="2" ht="19.5" customHeight="1" s="452">
      <c r="B2" s="425" t="inlineStr">
        <is>
          <t>AHP Ana Blok Ağırlıklandırması: E–S–G–FO</t>
        </is>
      </c>
    </row>
    <row r="4">
      <c r="B4" s="238" t="inlineStr">
        <is>
          <t>Amaç</t>
        </is>
      </c>
      <c r="C4" t="inlineStr">
        <is>
          <t>Tarım işletmelerinin bütünleşik sürdürülebilirlik performansının değerlendirilmesi</t>
        </is>
      </c>
    </row>
    <row r="5">
      <c r="B5" s="238" t="inlineStr">
        <is>
          <t>Karşılaştırma düzeyi</t>
        </is>
      </c>
      <c r="C5" t="inlineStr">
        <is>
          <t>Ana bloklar: Çevre (E), Sosyal (S), Yönetişim (G), Finans ve Operasyon (FO)</t>
        </is>
      </c>
    </row>
    <row r="7" ht="15.75" customHeight="1" s="452" thickBot="1">
      <c r="B7" s="433" t="inlineStr">
        <is>
          <t>1. İkili karşılaştırma matrisi – uzman/karar verici giriş alanı</t>
        </is>
      </c>
    </row>
    <row r="8" ht="45" customHeight="1" s="452">
      <c r="B8" s="359" t="n"/>
      <c r="C8" s="346" t="inlineStr">
        <is>
          <t>E – Çevre</t>
        </is>
      </c>
      <c r="D8" s="346" t="inlineStr">
        <is>
          <t>S – Sosyal</t>
        </is>
      </c>
      <c r="E8" s="346" t="inlineStr">
        <is>
          <t>G – Yönetişim</t>
        </is>
      </c>
      <c r="F8" s="347" t="inlineStr">
        <is>
          <t>FO – Finans ve Operasyon</t>
        </is>
      </c>
      <c r="H8" s="238" t="inlineStr">
        <is>
          <t>Giriş açıklaması</t>
        </is>
      </c>
    </row>
    <row r="9" ht="33.95" customHeight="1" s="452">
      <c r="B9" s="360" t="inlineStr">
        <is>
          <t>E – Çevre</t>
        </is>
      </c>
      <c r="C9" s="241" t="n">
        <v>1</v>
      </c>
      <c r="D9" s="242" t="n">
        <v>3</v>
      </c>
      <c r="E9" s="242" t="n">
        <v>4</v>
      </c>
      <c r="F9" s="361" t="n">
        <v>7</v>
      </c>
      <c r="H9" s="435" t="inlineStr">
        <is>
          <t>Sarı hücrelere yalnızca Saaty ölçeğinde 1, 2, …, 9 veya bunların karşılık değerlerini giriniz. Yeşil hücreler otomatik ters değerlerdir.</t>
        </is>
      </c>
    </row>
    <row r="10" ht="33.95" customHeight="1" s="452">
      <c r="B10" s="360" t="inlineStr">
        <is>
          <t>S – Sosyal</t>
        </is>
      </c>
      <c r="C10" s="243">
        <f>IFERROR(1/D9,"")</f>
        <v/>
      </c>
      <c r="D10" s="241" t="n">
        <v>1</v>
      </c>
      <c r="E10" s="242" t="n">
        <v>2</v>
      </c>
      <c r="F10" s="361" t="n">
        <v>4</v>
      </c>
    </row>
    <row r="11" ht="33.95" customHeight="1" s="452">
      <c r="B11" s="360" t="inlineStr">
        <is>
          <t>G – Yönetişim</t>
        </is>
      </c>
      <c r="C11" s="243">
        <f>IFERROR(1/E9,"")</f>
        <v/>
      </c>
      <c r="D11" s="243">
        <f>IFERROR(1/E10,"")</f>
        <v/>
      </c>
      <c r="E11" s="241" t="n">
        <v>1</v>
      </c>
      <c r="F11" s="361" t="n">
        <v>2</v>
      </c>
    </row>
    <row r="12" ht="33.95" customHeight="1" s="452" thickBot="1">
      <c r="B12" s="362" t="inlineStr">
        <is>
          <t>FO – Finans ve Operasyon</t>
        </is>
      </c>
      <c r="C12" s="363">
        <f>IFERROR(1/F9,"")</f>
        <v/>
      </c>
      <c r="D12" s="363">
        <f>IFERROR(1/F10,"")</f>
        <v/>
      </c>
      <c r="E12" s="363">
        <f>IFERROR(1/F11,"")</f>
        <v/>
      </c>
      <c r="F12" s="364" t="n">
        <v>1</v>
      </c>
    </row>
    <row r="14" ht="15.75" customHeight="1" s="452" thickBot="1"/>
    <row r="15" ht="15.75" customHeight="1" s="452" thickBot="1">
      <c r="B15" s="455" t="inlineStr">
        <is>
          <t>2. Normalize matris ve yerel ağırlıklar</t>
        </is>
      </c>
      <c r="C15" s="438" t="n"/>
      <c r="D15" s="438" t="n"/>
      <c r="E15" s="438" t="n"/>
      <c r="F15" s="438" t="n"/>
      <c r="G15" s="439" t="n"/>
    </row>
    <row r="16" ht="45" customHeight="1" s="452">
      <c r="B16" s="359" t="n"/>
      <c r="C16" s="346" t="inlineStr">
        <is>
          <t>E – Çevre</t>
        </is>
      </c>
      <c r="D16" s="346" t="inlineStr">
        <is>
          <t>S – Sosyal</t>
        </is>
      </c>
      <c r="E16" s="346" t="inlineStr">
        <is>
          <t>G – Yönetişim</t>
        </is>
      </c>
      <c r="F16" s="346" t="inlineStr">
        <is>
          <t>FO – Finans ve Operasyon</t>
        </is>
      </c>
      <c r="G16" s="347" t="inlineStr">
        <is>
          <t>Yerel ağırlık</t>
        </is>
      </c>
    </row>
    <row r="17">
      <c r="B17" s="348" t="inlineStr">
        <is>
          <t>E – Çevre</t>
        </is>
      </c>
      <c r="C17" s="244">
        <f>IFERROR(C9/C$21,"")</f>
        <v/>
      </c>
      <c r="D17" s="244">
        <f>IFERROR(D9/D$21,"")</f>
        <v/>
      </c>
      <c r="E17" s="244">
        <f>IFERROR(E9/E$21,"")</f>
        <v/>
      </c>
      <c r="F17" s="244">
        <f>IFERROR(F9/F$21,"")</f>
        <v/>
      </c>
      <c r="G17" s="349">
        <f>IFERROR(AVERAGE(C17:F17),"")</f>
        <v/>
      </c>
    </row>
    <row r="18">
      <c r="B18" s="348" t="inlineStr">
        <is>
          <t>S – Sosyal</t>
        </is>
      </c>
      <c r="C18" s="244">
        <f>IFERROR(C10/C$21,"")</f>
        <v/>
      </c>
      <c r="D18" s="244">
        <f>IFERROR(D10/D$21,"")</f>
        <v/>
      </c>
      <c r="E18" s="244">
        <f>IFERROR(E10/E$21,"")</f>
        <v/>
      </c>
      <c r="F18" s="244">
        <f>IFERROR(F10/F$21,"")</f>
        <v/>
      </c>
      <c r="G18" s="349">
        <f>IFERROR(AVERAGE(C18:F18),"")</f>
        <v/>
      </c>
    </row>
    <row r="19">
      <c r="B19" s="348" t="inlineStr">
        <is>
          <t>G – Yönetişim</t>
        </is>
      </c>
      <c r="C19" s="244">
        <f>IFERROR(C11/C$21,"")</f>
        <v/>
      </c>
      <c r="D19" s="244">
        <f>IFERROR(D11/D$21,"")</f>
        <v/>
      </c>
      <c r="E19" s="244">
        <f>IFERROR(E11/E$21,"")</f>
        <v/>
      </c>
      <c r="F19" s="244">
        <f>IFERROR(F11/F$21,"")</f>
        <v/>
      </c>
      <c r="G19" s="349">
        <f>IFERROR(AVERAGE(C19:F19),"")</f>
        <v/>
      </c>
    </row>
    <row r="20">
      <c r="B20" s="348" t="inlineStr">
        <is>
          <t>FO – Finans ve Operasyon</t>
        </is>
      </c>
      <c r="C20" s="244">
        <f>IFERROR(C12/C$21,"")</f>
        <v/>
      </c>
      <c r="D20" s="244">
        <f>IFERROR(D12/D$21,"")</f>
        <v/>
      </c>
      <c r="E20" s="244">
        <f>IFERROR(E12/E$21,"")</f>
        <v/>
      </c>
      <c r="F20" s="244">
        <f>IFERROR(F12/F$21,"")</f>
        <v/>
      </c>
      <c r="G20" s="349">
        <f>IFERROR(AVERAGE(C20:F20),"")</f>
        <v/>
      </c>
    </row>
    <row r="21" ht="15.75" customHeight="1" s="452" thickBot="1">
      <c r="B21" s="350" t="inlineStr">
        <is>
          <t>Sütun toplamı</t>
        </is>
      </c>
      <c r="C21" s="351">
        <f>SUM(C9:C12)</f>
        <v/>
      </c>
      <c r="D21" s="351">
        <f>SUM(D9:D12)</f>
        <v/>
      </c>
      <c r="E21" s="351">
        <f>SUM(E9:E12)</f>
        <v/>
      </c>
      <c r="F21" s="351">
        <f>SUM(F9:F12)</f>
        <v/>
      </c>
      <c r="G21" s="352" t="n"/>
    </row>
    <row r="22" ht="0.75" customHeight="1" s="452">
      <c r="B22" s="354" t="n"/>
      <c r="G22" s="355" t="n"/>
    </row>
    <row r="23" ht="15.75" customHeight="1" s="452" thickBot="1">
      <c r="B23" s="356" t="inlineStr">
        <is>
          <t>Ağırlık toplamı</t>
        </is>
      </c>
      <c r="C23" s="357" t="n"/>
      <c r="D23" s="357" t="n"/>
      <c r="E23" s="357" t="n"/>
      <c r="F23" s="357" t="n"/>
      <c r="G23" s="456">
        <f>SUM(G17:G20)</f>
        <v/>
      </c>
    </row>
    <row r="24" ht="15.75" customHeight="1" s="452" thickBot="1"/>
    <row r="25" ht="15.75" customHeight="1" s="452" thickBot="1">
      <c r="B25" s="455" t="inlineStr">
        <is>
          <t>3. Tutarlılık analizi</t>
        </is>
      </c>
      <c r="C25" s="438" t="n"/>
      <c r="D25" s="438" t="n"/>
      <c r="E25" s="438" t="n"/>
      <c r="F25" s="438" t="n"/>
      <c r="G25" s="439" t="n"/>
    </row>
    <row r="26">
      <c r="B26" s="371" t="inlineStr">
        <is>
          <t>λmax</t>
        </is>
      </c>
      <c r="C26" s="438" t="n"/>
      <c r="D26" s="438" t="n"/>
      <c r="E26" s="438" t="n"/>
      <c r="F26" s="438" t="n"/>
      <c r="G26" s="457">
        <f>C21*G17+D21*G18+E21*G19+F21*G20</f>
        <v/>
      </c>
    </row>
    <row r="27">
      <c r="B27" s="365" t="inlineStr">
        <is>
          <t>CI</t>
        </is>
      </c>
      <c r="G27" s="458">
        <f>IFERROR((G26-4)/(4-1),"")</f>
        <v/>
      </c>
    </row>
    <row r="28">
      <c r="B28" s="365" t="inlineStr">
        <is>
          <t>RI (n=4)</t>
        </is>
      </c>
      <c r="G28" s="367" t="n">
        <v>0.9</v>
      </c>
    </row>
    <row r="29">
      <c r="B29" s="365" t="inlineStr">
        <is>
          <t>CR</t>
        </is>
      </c>
      <c r="G29" s="458">
        <f>IFERROR(G27/G28,"")</f>
        <v/>
      </c>
    </row>
    <row r="30" ht="15.75" customHeight="1" s="452" thickBot="1">
      <c r="B30" s="368" t="inlineStr">
        <is>
          <t>Karar</t>
        </is>
      </c>
      <c r="C30" s="369" t="n"/>
      <c r="D30" s="369" t="n"/>
      <c r="E30" s="369" t="n"/>
      <c r="F30" s="369" t="n"/>
      <c r="G30" s="370">
        <f>IF(COUNT(D9:F11)&lt;6,"Veri bekleniyor",IF(G29&lt;=0.1,"Tutarlı (CR ≤ 0,10)","Gözden geçirilmeli (CR &gt; 0,10)"))</f>
        <v/>
      </c>
    </row>
    <row r="32">
      <c r="B32" s="434" t="inlineStr">
        <is>
          <t>Not: Bu sayfa yalnızca E–S–G–FO ana bloklarının ağırlıklandırılması içindir. Alt grup ve gösterge matrisleri ayrı sayfalarda kurulacaktır.</t>
        </is>
      </c>
    </row>
    <row r="33"/>
    <row r="35">
      <c r="B35" t="inlineStr">
        <is>
          <t>Düzeltme notu</t>
        </is>
      </c>
      <c r="C35" t="inlineStr">
        <is>
          <t>λmax formülü satır-sütun boyut uyumsuzluğu nedeniyle #DEĞER! üretebiliyordu; açık çarpım formülüyle düzeltildi.</t>
        </is>
      </c>
    </row>
  </sheetData>
  <mergeCells count="9">
    <mergeCell ref="C4:J4"/>
    <mergeCell ref="B25:G25"/>
    <mergeCell ref="H9:J12"/>
    <mergeCell ref="B32:J33"/>
    <mergeCell ref="C5:J5"/>
    <mergeCell ref="B15:G15"/>
    <mergeCell ref="B7:G7"/>
    <mergeCell ref="B2:J2"/>
    <mergeCell ref="C35:J35"/>
  </mergeCells>
  <pageMargins left="0.75" right="0.75" top="1" bottom="1" header="0.5" footer="0.5"/>
  <pageSetup orientation="portrait" paperSize="9"/>
</worksheet>
</file>

<file path=xl/worksheets/sheet5.xml><?xml version="1.0" encoding="utf-8"?>
<worksheet xmlns="http://schemas.openxmlformats.org/spreadsheetml/2006/main">
  <sheetPr codeName="Sayfa21">
    <outlinePr summaryBelow="1" summaryRight="1"/>
    <pageSetUpPr/>
  </sheetPr>
  <dimension ref="B2:K29"/>
  <sheetViews>
    <sheetView showGridLines="0" workbookViewId="0">
      <pane xSplit="2" ySplit="7" topLeftCell="C14" activePane="bottomRight" state="frozen"/>
      <selection pane="topRight" activeCell="A1" sqref="A1"/>
      <selection pane="bottomLeft" activeCell="A1" sqref="A1"/>
      <selection pane="bottomRight" activeCell="G16" sqref="G16:G19"/>
    </sheetView>
  </sheetViews>
  <sheetFormatPr baseColWidth="8" defaultRowHeight="15"/>
  <cols>
    <col width="48" customWidth="1" style="452" min="2" max="2"/>
    <col width="18" customWidth="1" style="452" min="3" max="5"/>
    <col width="17.7109375" customWidth="1" style="452" min="6" max="6"/>
    <col width="18" customWidth="1" style="452" min="7" max="7"/>
    <col hidden="1" width="18" customWidth="1" style="452" min="8" max="10"/>
    <col hidden="1" width="13" customWidth="1" style="452" min="11" max="11"/>
  </cols>
  <sheetData>
    <row r="2" ht="18.75" customHeight="1" s="452">
      <c r="B2" s="442" t="inlineStr">
        <is>
          <t>Çevre Ana Bloğu Alt Grupları AHP</t>
        </is>
      </c>
    </row>
    <row r="4">
      <c r="B4" s="238" t="inlineStr">
        <is>
          <t>Karşılaştırma düzeyi</t>
        </is>
      </c>
      <c r="C4" t="inlineStr">
        <is>
          <t>Çevre ana bloğu alt grup karşılaştırması</t>
        </is>
      </c>
    </row>
    <row r="6" ht="15.75" customHeight="1" s="452" thickBot="1">
      <c r="B6" s="433" t="inlineStr">
        <is>
          <t>1. İkili karşılaştırma matrisi – sarı hücrelere giriş yapınız</t>
        </is>
      </c>
      <c r="G6" s="433" t="n"/>
    </row>
    <row r="7" ht="62.1" customHeight="1" s="452">
      <c r="B7" s="374" t="n"/>
      <c r="C7" s="375" t="inlineStr">
        <is>
          <t>Enerji ve Emisyonlar</t>
        </is>
      </c>
      <c r="D7" s="375" t="inlineStr">
        <is>
          <t>Su Yönetimi</t>
        </is>
      </c>
      <c r="E7" s="375" t="inlineStr">
        <is>
          <t>Biyoçeşitlilik ve Toprak</t>
        </is>
      </c>
      <c r="F7" s="376" t="inlineStr">
        <is>
          <t>Atıklar ve Kimyasallar</t>
        </is>
      </c>
      <c r="G7" s="347" t="inlineStr">
        <is>
          <t>Yerel ağırlık</t>
        </is>
      </c>
      <c r="H7" s="238" t="inlineStr">
        <is>
          <t>Giriş açıklaması</t>
        </is>
      </c>
    </row>
    <row r="8" ht="32.1" customHeight="1" s="452">
      <c r="B8" s="377" t="inlineStr">
        <is>
          <t>Enerji ve Emisyonlar</t>
        </is>
      </c>
      <c r="C8" s="261" t="n">
        <v>1</v>
      </c>
      <c r="D8" s="262" t="n">
        <v>0.5</v>
      </c>
      <c r="E8" s="262" t="n">
        <v>0.33</v>
      </c>
      <c r="F8" s="378" t="n">
        <v>2</v>
      </c>
      <c r="H8" s="435" t="inlineStr">
        <is>
          <t>Sarı hücrelere Saaty ölçeğinde 1–9 veya ters değerleri giriniz. Yeşil hücreler otomatik ters değerlerdir.</t>
        </is>
      </c>
    </row>
    <row r="9" ht="32.1" customHeight="1" s="452">
      <c r="B9" s="377" t="inlineStr">
        <is>
          <t>Su Yönetimi</t>
        </is>
      </c>
      <c r="C9" s="263">
        <f>IFERROR(1/D8,"")</f>
        <v/>
      </c>
      <c r="D9" s="261" t="n">
        <v>1</v>
      </c>
      <c r="E9" s="262" t="n">
        <v>0.5</v>
      </c>
      <c r="F9" s="378" t="n">
        <v>4</v>
      </c>
    </row>
    <row r="10" ht="32.1" customHeight="1" s="452">
      <c r="B10" s="377" t="inlineStr">
        <is>
          <t>Biyoçeşitlilik ve Toprak</t>
        </is>
      </c>
      <c r="C10" s="263">
        <f>IFERROR(1/E8,"")</f>
        <v/>
      </c>
      <c r="D10" s="263">
        <f>IFERROR(1/E9,"")</f>
        <v/>
      </c>
      <c r="E10" s="261" t="n">
        <v>1</v>
      </c>
      <c r="F10" s="378" t="n">
        <v>6</v>
      </c>
    </row>
    <row r="11" ht="32.1" customHeight="1" s="452" thickBot="1">
      <c r="B11" s="379" t="inlineStr">
        <is>
          <t>Atıklar ve Kimyasallar</t>
        </is>
      </c>
      <c r="C11" s="380">
        <f>IFERROR(1/F8,"")</f>
        <v/>
      </c>
      <c r="D11" s="380">
        <f>IFERROR(1/F9,"")</f>
        <v/>
      </c>
      <c r="E11" s="380">
        <f>IFERROR(1/F10,"")</f>
        <v/>
      </c>
      <c r="F11" s="381" t="n">
        <v>1</v>
      </c>
    </row>
    <row r="14" ht="15.75" customHeight="1" s="452" thickBot="1">
      <c r="B14" s="433" t="inlineStr">
        <is>
          <t>2. Normalize matris ve yerel ağırlıklar</t>
        </is>
      </c>
      <c r="G14" s="433" t="n"/>
    </row>
    <row r="15" ht="30" customHeight="1" s="452">
      <c r="B15" s="382" t="n"/>
      <c r="C15" s="383" t="inlineStr">
        <is>
          <t>Enerji ve Emisyonlar</t>
        </is>
      </c>
      <c r="D15" s="383" t="inlineStr">
        <is>
          <t>Su Yönetimi</t>
        </is>
      </c>
      <c r="E15" s="383" t="inlineStr">
        <is>
          <t>Biyoçeşitlilik ve Toprak</t>
        </is>
      </c>
      <c r="F15" s="383" t="inlineStr">
        <is>
          <t>Atıklar ve Kimyasallar</t>
        </is>
      </c>
      <c r="G15" s="384" t="inlineStr">
        <is>
          <t>Yerel ağırlık</t>
        </is>
      </c>
    </row>
    <row r="16">
      <c r="B16" s="377" t="inlineStr">
        <is>
          <t>Enerji ve Emisyonlar</t>
        </is>
      </c>
      <c r="C16" s="244">
        <f>IFERROR(C8/C$20,"")</f>
        <v/>
      </c>
      <c r="D16" s="244">
        <f>IFERROR(D8/D$20,"")</f>
        <v/>
      </c>
      <c r="E16" s="244">
        <f>IFERROR(E8/E$20,"")</f>
        <v/>
      </c>
      <c r="F16" s="244">
        <f>IFERROR(F8/F$20,"")</f>
        <v/>
      </c>
      <c r="G16" s="349">
        <f>IFERROR(AVERAGE(C16:F16),"")</f>
        <v/>
      </c>
    </row>
    <row r="17">
      <c r="B17" s="377" t="inlineStr">
        <is>
          <t>Su Yönetimi</t>
        </is>
      </c>
      <c r="C17" s="244">
        <f>IFERROR(C9/C$20,"")</f>
        <v/>
      </c>
      <c r="D17" s="244">
        <f>IFERROR(D9/D$20,"")</f>
        <v/>
      </c>
      <c r="E17" s="244">
        <f>IFERROR(E9/E$20,"")</f>
        <v/>
      </c>
      <c r="F17" s="244">
        <f>IFERROR(F9/F$20,"")</f>
        <v/>
      </c>
      <c r="G17" s="349">
        <f>IFERROR(AVERAGE(C17:F17),"")</f>
        <v/>
      </c>
    </row>
    <row r="18">
      <c r="B18" s="377" t="inlineStr">
        <is>
          <t>Biyoçeşitlilik ve Toprak</t>
        </is>
      </c>
      <c r="C18" s="244">
        <f>IFERROR(C10/C$20,"")</f>
        <v/>
      </c>
      <c r="D18" s="244">
        <f>IFERROR(D10/D$20,"")</f>
        <v/>
      </c>
      <c r="E18" s="244">
        <f>IFERROR(E10/E$20,"")</f>
        <v/>
      </c>
      <c r="F18" s="244">
        <f>IFERROR(F10/F$20,"")</f>
        <v/>
      </c>
      <c r="G18" s="349">
        <f>IFERROR(AVERAGE(C18:F18),"")</f>
        <v/>
      </c>
    </row>
    <row r="19">
      <c r="B19" s="377" t="inlineStr">
        <is>
          <t>Atıklar ve Kimyasallar</t>
        </is>
      </c>
      <c r="C19" s="244">
        <f>IFERROR(C11/C$20,"")</f>
        <v/>
      </c>
      <c r="D19" s="244">
        <f>IFERROR(D11/D$20,"")</f>
        <v/>
      </c>
      <c r="E19" s="244">
        <f>IFERROR(E11/E$20,"")</f>
        <v/>
      </c>
      <c r="F19" s="244">
        <f>IFERROR(F11/F$20,"")</f>
        <v/>
      </c>
      <c r="G19" s="349">
        <f>IFERROR(AVERAGE(C19:F19),"")</f>
        <v/>
      </c>
    </row>
    <row r="20" ht="15.75" customHeight="1" s="452" thickBot="1">
      <c r="B20" s="385" t="inlineStr">
        <is>
          <t>Sütun toplamı</t>
        </is>
      </c>
      <c r="C20" s="386">
        <f>SUM(C8:C11)</f>
        <v/>
      </c>
      <c r="D20" s="386">
        <f>SUM(D8:D11)</f>
        <v/>
      </c>
      <c r="E20" s="386">
        <f>SUM(E8:E11)</f>
        <v/>
      </c>
      <c r="F20" s="386">
        <f>SUM(F8:F11)</f>
        <v/>
      </c>
      <c r="G20" s="387" t="n"/>
    </row>
    <row r="21" hidden="1" ht="14.45" customHeight="1" s="452"/>
    <row r="22" ht="15.75" customHeight="1" s="452" thickBot="1">
      <c r="B22" s="356" t="inlineStr">
        <is>
          <t>Ağırlık toplamı</t>
        </is>
      </c>
      <c r="C22" s="357" t="n"/>
      <c r="D22" s="357" t="n"/>
      <c r="E22" s="357" t="n"/>
      <c r="F22" s="357" t="n"/>
      <c r="G22" s="456">
        <f>SUM(G16:G19)</f>
        <v/>
      </c>
    </row>
    <row r="24">
      <c r="B24" s="433" t="inlineStr">
        <is>
          <t>3. Tutarlılık analizi</t>
        </is>
      </c>
    </row>
    <row r="25">
      <c r="B25" s="249" t="inlineStr">
        <is>
          <t>λmax</t>
        </is>
      </c>
      <c r="G25" s="244">
        <f>C20*G16+D20*G17+E20*G18+F20*G19</f>
        <v/>
      </c>
    </row>
    <row r="26">
      <c r="B26" s="249" t="inlineStr">
        <is>
          <t>CI</t>
        </is>
      </c>
      <c r="G26" s="244">
        <f>IFERROR((G25-4)/(4-1),"")</f>
        <v/>
      </c>
    </row>
    <row r="27">
      <c r="B27" s="249" t="inlineStr">
        <is>
          <t>RI (n=4)</t>
        </is>
      </c>
      <c r="G27" s="244" t="n">
        <v>0.9</v>
      </c>
    </row>
    <row r="28">
      <c r="B28" s="249" t="inlineStr">
        <is>
          <t>CR</t>
        </is>
      </c>
      <c r="G28" s="244">
        <f>IFERROR(G26/G27,"")</f>
        <v/>
      </c>
    </row>
    <row r="29">
      <c r="B29" s="249" t="inlineStr">
        <is>
          <t>Karar</t>
        </is>
      </c>
      <c r="G29" s="244">
        <f>IF(COUNT(D8,E8,F8,E9,F9,F10)&lt;6,"Veri bekleniyor",IF(G28&lt;=0.1,"Tutarlı (CR ≤ 0,10)","Gözden geçirilmeli (CR &gt; 0,10)"))</f>
        <v/>
      </c>
    </row>
  </sheetData>
  <mergeCells count="8">
    <mergeCell ref="B24:G24"/>
    <mergeCell ref="B6:F6"/>
    <mergeCell ref="B2:I2"/>
    <mergeCell ref="C4:I4"/>
    <mergeCell ref="G14:K14"/>
    <mergeCell ref="B14:F14"/>
    <mergeCell ref="H8:J11"/>
    <mergeCell ref="G6:K6"/>
  </mergeCells>
  <pageMargins left="0.75" right="0.75" top="1" bottom="1" header="0.5" footer="0.5"/>
</worksheet>
</file>

<file path=xl/worksheets/sheet6.xml><?xml version="1.0" encoding="utf-8"?>
<worksheet xmlns="http://schemas.openxmlformats.org/spreadsheetml/2006/main">
  <sheetPr codeName="Sayfa22">
    <outlinePr summaryBelow="1" summaryRight="1"/>
    <pageSetUpPr/>
  </sheetPr>
  <dimension ref="B2:Q35"/>
  <sheetViews>
    <sheetView showGridLines="0" workbookViewId="0">
      <pane xSplit="2" ySplit="7" topLeftCell="C21" activePane="bottomRight" state="frozen"/>
      <selection pane="topRight" activeCell="A1" sqref="A1"/>
      <selection pane="bottomLeft" activeCell="A1" sqref="A1"/>
      <selection pane="bottomRight" activeCell="J35" sqref="J31:J35"/>
    </sheetView>
  </sheetViews>
  <sheetFormatPr baseColWidth="8" defaultRowHeight="15"/>
  <cols>
    <col width="48" customWidth="1" style="452" min="2" max="2"/>
    <col hidden="1" width="18" customWidth="1" style="452" min="3" max="9"/>
    <col width="18" customWidth="1" style="452" min="10" max="10"/>
    <col hidden="1" width="18" customWidth="1" style="452" min="11" max="13"/>
    <col hidden="1" width="13" customWidth="1" style="452" min="14" max="20"/>
  </cols>
  <sheetData>
    <row r="2" ht="18.75" customHeight="1" s="452">
      <c r="B2" s="436" t="inlineStr">
        <is>
          <t>Çevre → Enerji ve Emisyonlar Göstergeleri AHP</t>
        </is>
      </c>
    </row>
    <row r="4">
      <c r="B4" s="238" t="inlineStr">
        <is>
          <t>Karşılaştırma düzeyi</t>
        </is>
      </c>
      <c r="C4" t="inlineStr">
        <is>
          <t>Çevre → Enerji ve Emisyonlar</t>
        </is>
      </c>
    </row>
    <row r="6" ht="15.75" customHeight="1" s="452" thickBot="1">
      <c r="B6" s="433" t="inlineStr">
        <is>
          <t>1. İkili karşılaştırma matrisi – sarı hücrelere giriş yapınız</t>
        </is>
      </c>
    </row>
    <row r="7" ht="62.1" customHeight="1" s="452" thickBot="1">
      <c r="B7" s="382" t="n"/>
      <c r="C7" s="388" t="inlineStr">
        <is>
          <t>E-01 Enerji Kaynağı (Fosil, Elektrik, Yenilenebilir)</t>
        </is>
      </c>
      <c r="D7" s="388" t="inlineStr">
        <is>
          <t>E-02 Yıllık toplam enerji tüketimi (kWh/litre)</t>
        </is>
      </c>
      <c r="E7" s="388" t="inlineStr">
        <is>
          <t>E-03 Enerji verimliliği artırma uygulamaları</t>
        </is>
      </c>
      <c r="F7" s="388" t="inlineStr">
        <is>
          <t>E-04 Yenilenebilir enerji kullanım oranı (%)</t>
        </is>
      </c>
      <c r="G7" s="388" t="inlineStr">
        <is>
          <t>E-05 Karbon ayak izi hesaplama durumu</t>
        </is>
      </c>
      <c r="H7" s="388" t="inlineStr">
        <is>
          <t>E-06 İş makineleri yakıt verimliliği</t>
        </is>
      </c>
      <c r="I7" s="389" t="inlineStr">
        <is>
          <t>E-07 Lojistik ve dağıtım ağı mesafesi (300 km kriteri)</t>
        </is>
      </c>
      <c r="K7" s="238" t="inlineStr">
        <is>
          <t>Giriş açıklaması</t>
        </is>
      </c>
    </row>
    <row r="8" ht="32.1" customHeight="1" s="452">
      <c r="B8" s="390" t="inlineStr">
        <is>
          <t>E-01 Enerji Kaynağı (Fosil, Elektrik, Yenilenebilir)</t>
        </is>
      </c>
      <c r="C8" s="391" t="n">
        <v>1</v>
      </c>
      <c r="D8" s="392" t="n">
        <v>2</v>
      </c>
      <c r="E8" s="392" t="n">
        <v>3</v>
      </c>
      <c r="F8" s="392" t="n">
        <v>3</v>
      </c>
      <c r="G8" s="392" t="n">
        <v>4</v>
      </c>
      <c r="H8" s="392" t="n">
        <v>2</v>
      </c>
      <c r="I8" s="393" t="n">
        <v>4</v>
      </c>
      <c r="K8" s="435" t="inlineStr">
        <is>
          <t>Sarı hücrelere Saaty ölçeğinde 1–9 veya ters değerleri giriniz. Yeşil hücreler otomatik ters değerlerdir.</t>
        </is>
      </c>
    </row>
    <row r="9" ht="32.1" customHeight="1" s="452">
      <c r="B9" s="377" t="inlineStr">
        <is>
          <t>E-02 Yıllık toplam enerji tüketimi (kWh/litre)</t>
        </is>
      </c>
      <c r="C9" s="263">
        <f>IFERROR(1/D8,"")</f>
        <v/>
      </c>
      <c r="D9" s="261" t="n">
        <v>1</v>
      </c>
      <c r="E9" s="262" t="n">
        <v>2</v>
      </c>
      <c r="F9" s="262" t="n">
        <v>3</v>
      </c>
      <c r="G9" s="262" t="n">
        <v>5</v>
      </c>
      <c r="H9" s="262" t="n">
        <v>2</v>
      </c>
      <c r="I9" s="378" t="n">
        <v>3</v>
      </c>
    </row>
    <row r="10" ht="32.1" customHeight="1" s="452">
      <c r="B10" s="377" t="inlineStr">
        <is>
          <t>E-03 Enerji verimliliği artırma uygulamaları</t>
        </is>
      </c>
      <c r="C10" s="263">
        <f>IFERROR(1/E8,"")</f>
        <v/>
      </c>
      <c r="D10" s="263">
        <f>IFERROR(1/E9,"")</f>
        <v/>
      </c>
      <c r="E10" s="261" t="n">
        <v>1</v>
      </c>
      <c r="F10" s="262" t="n">
        <v>0.5</v>
      </c>
      <c r="G10" s="262" t="n">
        <v>3</v>
      </c>
      <c r="H10" s="262" t="n">
        <v>2</v>
      </c>
      <c r="I10" s="378">
        <f>3</f>
        <v/>
      </c>
    </row>
    <row r="11" ht="32.1" customHeight="1" s="452">
      <c r="B11" s="377" t="inlineStr">
        <is>
          <t>E-04 Yenilenebilir enerji kullanım oranı (%)</t>
        </is>
      </c>
      <c r="C11" s="263">
        <f>IFERROR(1/F8,"")</f>
        <v/>
      </c>
      <c r="D11" s="263">
        <f>IFERROR(1/F9,"")</f>
        <v/>
      </c>
      <c r="E11" s="263">
        <f>IFERROR(1/F10,"")</f>
        <v/>
      </c>
      <c r="F11" s="261" t="n">
        <v>1</v>
      </c>
      <c r="G11" s="262">
        <f>4</f>
        <v/>
      </c>
      <c r="H11" s="262">
        <f>2</f>
        <v/>
      </c>
      <c r="I11" s="378">
        <f>2</f>
        <v/>
      </c>
    </row>
    <row r="12" ht="32.1" customHeight="1" s="452">
      <c r="B12" s="377" t="inlineStr">
        <is>
          <t>E-05 Karbon ayak izi hesaplama durumu</t>
        </is>
      </c>
      <c r="C12" s="263">
        <f>IFERROR(1/G8,"")</f>
        <v/>
      </c>
      <c r="D12" s="263">
        <f>IFERROR(1/G9,"")</f>
        <v/>
      </c>
      <c r="E12" s="263">
        <f>IFERROR(1/G10,"")</f>
        <v/>
      </c>
      <c r="F12" s="263">
        <f>IFERROR(1/G11,"")</f>
        <v/>
      </c>
      <c r="G12" s="261" t="n">
        <v>1</v>
      </c>
      <c r="H12" s="262">
        <f>1/4</f>
        <v/>
      </c>
      <c r="I12" s="378">
        <f>1/4</f>
        <v/>
      </c>
    </row>
    <row r="13" ht="32.1" customHeight="1" s="452">
      <c r="B13" s="377" t="inlineStr">
        <is>
          <t>E-06 İş makineleri yakıt verimliliği</t>
        </is>
      </c>
      <c r="C13" s="263">
        <f>IFERROR(1/H8,"")</f>
        <v/>
      </c>
      <c r="D13" s="263">
        <f>IFERROR(1/H9,"")</f>
        <v/>
      </c>
      <c r="E13" s="263">
        <f>IFERROR(1/H10,"")</f>
        <v/>
      </c>
      <c r="F13" s="263">
        <f>IFERROR(1/H11,"")</f>
        <v/>
      </c>
      <c r="G13" s="263">
        <f>IFERROR(1/H12,"")</f>
        <v/>
      </c>
      <c r="H13" s="261" t="n">
        <v>1</v>
      </c>
      <c r="I13" s="378" t="n">
        <v>4</v>
      </c>
    </row>
    <row r="14" ht="32.1" customHeight="1" s="452" thickBot="1">
      <c r="B14" s="379" t="inlineStr">
        <is>
          <t>E-07 Lojistik ve dağıtım ağı mesafesi (300 km kriteri)</t>
        </is>
      </c>
      <c r="C14" s="380">
        <f>IFERROR(1/I8,"")</f>
        <v/>
      </c>
      <c r="D14" s="380">
        <f>IFERROR(1/I9,"")</f>
        <v/>
      </c>
      <c r="E14" s="380">
        <f>IFERROR(1/I10,"")</f>
        <v/>
      </c>
      <c r="F14" s="380">
        <f>IFERROR(1/I11,"")</f>
        <v/>
      </c>
      <c r="G14" s="380">
        <f>IFERROR(1/I12,"")</f>
        <v/>
      </c>
      <c r="H14" s="380">
        <f>IFERROR(1/I13,"")</f>
        <v/>
      </c>
      <c r="I14" s="381" t="n">
        <v>1</v>
      </c>
    </row>
    <row r="17" ht="15.75" customHeight="1" s="452" thickBot="1">
      <c r="B17" s="433" t="inlineStr">
        <is>
          <t>2. Normalize matris ve yerel ağırlıklar</t>
        </is>
      </c>
      <c r="J17" s="433" t="n"/>
    </row>
    <row r="18" ht="60" customHeight="1" s="452">
      <c r="B18" s="394" t="n"/>
      <c r="C18" s="383" t="inlineStr">
        <is>
          <t>E-01 Enerji Kaynağı (Fosil, Elektrik, Yenilenebilir)</t>
        </is>
      </c>
      <c r="D18" s="383" t="inlineStr">
        <is>
          <t>E-02 Yıllık toplam enerji tüketimi (kWh/litre)</t>
        </is>
      </c>
      <c r="E18" s="383" t="inlineStr">
        <is>
          <t>E-03 Enerji verimliliği artırma uygulamaları</t>
        </is>
      </c>
      <c r="F18" s="383" t="inlineStr">
        <is>
          <t>E-04 Yenilenebilir enerji kullanım oranı (%)</t>
        </is>
      </c>
      <c r="G18" s="383" t="inlineStr">
        <is>
          <t>E-05 Karbon ayak izi hesaplama durumu</t>
        </is>
      </c>
      <c r="H18" s="383" t="inlineStr">
        <is>
          <t>E-06 İş makineleri yakıt verimliliği</t>
        </is>
      </c>
      <c r="I18" s="383" t="inlineStr">
        <is>
          <t>E-07 Lojistik ve dağıtım ağı mesafesi (300 km kriteri)</t>
        </is>
      </c>
      <c r="J18" s="384" t="inlineStr">
        <is>
          <t>Yerel ağırlık</t>
        </is>
      </c>
    </row>
    <row r="19">
      <c r="B19" s="377" t="inlineStr">
        <is>
          <t>E-01 Enerji Kaynağı (Fosil, Elektrik, Yenilenebilir)</t>
        </is>
      </c>
      <c r="C19" s="244">
        <f>IFERROR(C8/C$26,"")</f>
        <v/>
      </c>
      <c r="D19" s="244">
        <f>IFERROR(D8/D$26,"")</f>
        <v/>
      </c>
      <c r="E19" s="244">
        <f>IFERROR(E8/E$26,"")</f>
        <v/>
      </c>
      <c r="F19" s="244">
        <f>IFERROR(F8/F$26,"")</f>
        <v/>
      </c>
      <c r="G19" s="244">
        <f>IFERROR(G8/G$26,"")</f>
        <v/>
      </c>
      <c r="H19" s="244">
        <f>IFERROR(H8/H$26,"")</f>
        <v/>
      </c>
      <c r="I19" s="244">
        <f>IFERROR(I8/I$26,"")</f>
        <v/>
      </c>
      <c r="J19" s="349">
        <f>IFERROR(AVERAGE(C19:I19),"")</f>
        <v/>
      </c>
    </row>
    <row r="20">
      <c r="B20" s="377" t="inlineStr">
        <is>
          <t>E-02 Yıllık toplam enerji tüketimi (kWh/litre)</t>
        </is>
      </c>
      <c r="C20" s="244">
        <f>IFERROR(C9/C$26,"")</f>
        <v/>
      </c>
      <c r="D20" s="244">
        <f>IFERROR(D9/D$26,"")</f>
        <v/>
      </c>
      <c r="E20" s="244">
        <f>IFERROR(E9/E$26,"")</f>
        <v/>
      </c>
      <c r="F20" s="244">
        <f>IFERROR(F9/F$26,"")</f>
        <v/>
      </c>
      <c r="G20" s="244">
        <f>IFERROR(G9/G$26,"")</f>
        <v/>
      </c>
      <c r="H20" s="244">
        <f>IFERROR(H9/H$26,"")</f>
        <v/>
      </c>
      <c r="I20" s="244">
        <f>IFERROR(I9/I$26,"")</f>
        <v/>
      </c>
      <c r="J20" s="349">
        <f>IFERROR(AVERAGE(C20:I20),"")</f>
        <v/>
      </c>
    </row>
    <row r="21">
      <c r="B21" s="377" t="inlineStr">
        <is>
          <t>E-03 Enerji verimliliği artırma uygulamaları</t>
        </is>
      </c>
      <c r="C21" s="244">
        <f>IFERROR(C10/C$26,"")</f>
        <v/>
      </c>
      <c r="D21" s="244">
        <f>IFERROR(D10/D$26,"")</f>
        <v/>
      </c>
      <c r="E21" s="244">
        <f>IFERROR(E10/E$26,"")</f>
        <v/>
      </c>
      <c r="F21" s="244">
        <f>IFERROR(F10/F$26,"")</f>
        <v/>
      </c>
      <c r="G21" s="244">
        <f>IFERROR(G10/G$26,"")</f>
        <v/>
      </c>
      <c r="H21" s="244">
        <f>IFERROR(H10/H$26,"")</f>
        <v/>
      </c>
      <c r="I21" s="244">
        <f>IFERROR(I10/I$26,"")</f>
        <v/>
      </c>
      <c r="J21" s="349">
        <f>IFERROR(AVERAGE(C21:I21),"")</f>
        <v/>
      </c>
    </row>
    <row r="22">
      <c r="B22" s="377" t="inlineStr">
        <is>
          <t>E-04 Yenilenebilir enerji kullanım oranı (%)</t>
        </is>
      </c>
      <c r="C22" s="244">
        <f>IFERROR(C11/C$26,"")</f>
        <v/>
      </c>
      <c r="D22" s="244">
        <f>IFERROR(D11/D$26,"")</f>
        <v/>
      </c>
      <c r="E22" s="244">
        <f>IFERROR(E11/E$26,"")</f>
        <v/>
      </c>
      <c r="F22" s="244">
        <f>IFERROR(F11/F$26,"")</f>
        <v/>
      </c>
      <c r="G22" s="244">
        <f>IFERROR(G11/G$26,"")</f>
        <v/>
      </c>
      <c r="H22" s="244">
        <f>IFERROR(H11/H$26,"")</f>
        <v/>
      </c>
      <c r="I22" s="244">
        <f>IFERROR(I11/I$26,"")</f>
        <v/>
      </c>
      <c r="J22" s="349">
        <f>IFERROR(AVERAGE(C22:I22),"")</f>
        <v/>
      </c>
    </row>
    <row r="23">
      <c r="B23" s="377" t="inlineStr">
        <is>
          <t>E-05 Karbon ayak izi hesaplama durumu</t>
        </is>
      </c>
      <c r="C23" s="244">
        <f>IFERROR(C12/C$26,"")</f>
        <v/>
      </c>
      <c r="D23" s="244">
        <f>IFERROR(D12/D$26,"")</f>
        <v/>
      </c>
      <c r="E23" s="244">
        <f>IFERROR(E12/E$26,"")</f>
        <v/>
      </c>
      <c r="F23" s="244">
        <f>IFERROR(F12/F$26,"")</f>
        <v/>
      </c>
      <c r="G23" s="244">
        <f>IFERROR(G12/G$26,"")</f>
        <v/>
      </c>
      <c r="H23" s="244">
        <f>IFERROR(H12/H$26,"")</f>
        <v/>
      </c>
      <c r="I23" s="244">
        <f>IFERROR(I12/I$26,"")</f>
        <v/>
      </c>
      <c r="J23" s="349">
        <f>IFERROR(AVERAGE(C23:I23),"")</f>
        <v/>
      </c>
    </row>
    <row r="24">
      <c r="B24" s="377" t="inlineStr">
        <is>
          <t>E-06 İş makineleri yakıt verimliliği</t>
        </is>
      </c>
      <c r="C24" s="244">
        <f>IFERROR(C13/C$26,"")</f>
        <v/>
      </c>
      <c r="D24" s="244">
        <f>IFERROR(D13/D$26,"")</f>
        <v/>
      </c>
      <c r="E24" s="244">
        <f>IFERROR(E13/E$26,"")</f>
        <v/>
      </c>
      <c r="F24" s="244">
        <f>IFERROR(F13/F$26,"")</f>
        <v/>
      </c>
      <c r="G24" s="244">
        <f>IFERROR(G13/G$26,"")</f>
        <v/>
      </c>
      <c r="H24" s="244">
        <f>IFERROR(H13/H$26,"")</f>
        <v/>
      </c>
      <c r="I24" s="244">
        <f>IFERROR(I13/I$26,"")</f>
        <v/>
      </c>
      <c r="J24" s="349">
        <f>IFERROR(AVERAGE(C24:I24),"")</f>
        <v/>
      </c>
    </row>
    <row r="25">
      <c r="B25" s="377" t="inlineStr">
        <is>
          <t>E-07 Lojistik ve dağıtım ağı mesafesi (300 km kriteri)</t>
        </is>
      </c>
      <c r="C25" s="244">
        <f>IFERROR(C14/C$26,"")</f>
        <v/>
      </c>
      <c r="D25" s="244">
        <f>IFERROR(D14/D$26,"")</f>
        <v/>
      </c>
      <c r="E25" s="244">
        <f>IFERROR(E14/E$26,"")</f>
        <v/>
      </c>
      <c r="F25" s="244">
        <f>IFERROR(F14/F$26,"")</f>
        <v/>
      </c>
      <c r="G25" s="244">
        <f>IFERROR(G14/G$26,"")</f>
        <v/>
      </c>
      <c r="H25" s="244">
        <f>IFERROR(H14/H$26,"")</f>
        <v/>
      </c>
      <c r="I25" s="244">
        <f>IFERROR(I14/I$26,"")</f>
        <v/>
      </c>
      <c r="J25" s="349">
        <f>IFERROR(AVERAGE(C25:I25),"")</f>
        <v/>
      </c>
    </row>
    <row r="26">
      <c r="B26" s="395" t="inlineStr">
        <is>
          <t>Sütun toplamı</t>
        </is>
      </c>
      <c r="C26" s="247">
        <f>SUM(C8:C14)</f>
        <v/>
      </c>
      <c r="D26" s="247">
        <f>SUM(D8:D14)</f>
        <v/>
      </c>
      <c r="E26" s="247">
        <f>SUM(E8:E14)</f>
        <v/>
      </c>
      <c r="F26" s="247">
        <f>SUM(F8:F14)</f>
        <v/>
      </c>
      <c r="G26" s="247">
        <f>SUM(G8:G14)</f>
        <v/>
      </c>
      <c r="H26" s="247">
        <f>SUM(H8:H14)</f>
        <v/>
      </c>
      <c r="I26" s="247">
        <f>SUM(I8:I14)</f>
        <v/>
      </c>
      <c r="J26" s="355" t="n"/>
    </row>
    <row r="27" hidden="1" s="452">
      <c r="B27" s="354" t="n"/>
      <c r="J27" s="355" t="n"/>
    </row>
    <row r="28" ht="15.75" customHeight="1" s="452" thickBot="1">
      <c r="B28" s="456" t="inlineStr">
        <is>
          <t>Ağırlık toplamı</t>
        </is>
      </c>
      <c r="C28" s="456" t="n"/>
      <c r="D28" s="456" t="n"/>
      <c r="E28" s="456" t="n"/>
      <c r="F28" s="456" t="n"/>
      <c r="G28" s="456" t="n"/>
      <c r="H28" s="456" t="n"/>
      <c r="I28" s="456" t="n"/>
      <c r="J28" s="456">
        <f>SUM(J19:J25)</f>
        <v/>
      </c>
    </row>
    <row r="29" ht="15.75" customHeight="1" s="452" thickBot="1"/>
    <row r="30" ht="15.75" customHeight="1" s="452" thickBot="1">
      <c r="B30" s="455" t="inlineStr">
        <is>
          <t>3. Tutarlılık analizi</t>
        </is>
      </c>
      <c r="C30" s="438" t="n"/>
      <c r="D30" s="438" t="n"/>
      <c r="E30" s="438" t="n"/>
      <c r="F30" s="438" t="n"/>
      <c r="G30" s="438" t="n"/>
      <c r="H30" s="438" t="n"/>
      <c r="I30" s="438" t="n"/>
      <c r="J30" s="439" t="n"/>
    </row>
    <row r="31">
      <c r="B31" s="371" t="inlineStr">
        <is>
          <t>λmax</t>
        </is>
      </c>
      <c r="C31" s="438" t="n"/>
      <c r="D31" s="438" t="n"/>
      <c r="E31" s="438" t="n"/>
      <c r="F31" s="438" t="n"/>
      <c r="G31" s="438" t="n"/>
      <c r="H31" s="438" t="n"/>
      <c r="I31" s="438" t="n"/>
      <c r="J31" s="396">
        <f>C26*J19+D26*J20+E26*J21+F26*J22+G26*J23+H26*J24+I26*J25</f>
        <v/>
      </c>
    </row>
    <row r="32">
      <c r="B32" s="365" t="inlineStr">
        <is>
          <t>CI</t>
        </is>
      </c>
      <c r="J32" s="367">
        <f>IFERROR((J31-7)/(7-1),"")</f>
        <v/>
      </c>
    </row>
    <row r="33">
      <c r="B33" s="365" t="inlineStr">
        <is>
          <t>RI (n=7)</t>
        </is>
      </c>
      <c r="J33" s="367" t="n">
        <v>1.32</v>
      </c>
    </row>
    <row r="34">
      <c r="B34" s="365" t="inlineStr">
        <is>
          <t>CR</t>
        </is>
      </c>
      <c r="J34" s="367">
        <f>IFERROR(J32/J33,"")</f>
        <v/>
      </c>
    </row>
    <row r="35" ht="15.75" customHeight="1" s="452" thickBot="1">
      <c r="B35" s="368" t="inlineStr">
        <is>
          <t>Karar</t>
        </is>
      </c>
      <c r="C35" s="369" t="n"/>
      <c r="D35" s="369" t="n"/>
      <c r="E35" s="369" t="n"/>
      <c r="F35" s="369" t="n"/>
      <c r="G35" s="369" t="n"/>
      <c r="H35" s="369" t="n"/>
      <c r="I35" s="369" t="n"/>
      <c r="J35" s="370">
        <f>IF(COUNT(D8,E8,F8,G8,H8,I8,E9,F9,G9,H9,I9,F10,G10,H10,I10,G11,H11,I11,H12,I12,I13)&lt;21,"Veri bekleniyor",IF(J34&lt;=0.1,"Tutarlı (CR ≤ 0,10)","Gözden geçirilmeli (CR &gt; 0,10)"))</f>
        <v/>
      </c>
    </row>
  </sheetData>
  <mergeCells count="7">
    <mergeCell ref="K8:M14"/>
    <mergeCell ref="B17:I17"/>
    <mergeCell ref="B6:I6"/>
    <mergeCell ref="C4:L4"/>
    <mergeCell ref="B2:L2"/>
    <mergeCell ref="B30:J30"/>
    <mergeCell ref="J17:Q17"/>
  </mergeCells>
  <pageMargins left="0.75" right="0.75" top="1" bottom="1" header="0.5" footer="0.5"/>
</worksheet>
</file>

<file path=xl/worksheets/sheet7.xml><?xml version="1.0" encoding="utf-8"?>
<worksheet xmlns="http://schemas.openxmlformats.org/spreadsheetml/2006/main">
  <sheetPr codeName="Sayfa23">
    <outlinePr summaryBelow="1" summaryRight="1"/>
    <pageSetUpPr/>
  </sheetPr>
  <dimension ref="B2:Q35"/>
  <sheetViews>
    <sheetView showGridLines="0" topLeftCell="A19" workbookViewId="0">
      <selection activeCell="B19" sqref="B1:J1048576"/>
    </sheetView>
  </sheetViews>
  <sheetFormatPr baseColWidth="8" defaultRowHeight="15"/>
  <cols>
    <col width="48" customWidth="1" style="452" min="2" max="2"/>
    <col width="18" customWidth="1" style="452" min="3" max="10"/>
    <col hidden="1" width="18" customWidth="1" style="452" min="11" max="13"/>
    <col hidden="1" width="13" customWidth="1" style="452" min="14" max="17"/>
  </cols>
  <sheetData>
    <row r="2" ht="18.75" customHeight="1" s="452">
      <c r="B2" s="436" t="inlineStr">
        <is>
          <t>Çevre → Su Yönetimi Göstergeleri AHP</t>
        </is>
      </c>
    </row>
    <row r="4">
      <c r="B4" s="238" t="inlineStr">
        <is>
          <t>Karşılaştırma düzeyi</t>
        </is>
      </c>
      <c r="C4" t="inlineStr">
        <is>
          <t>Çevre → Su Yönetimi</t>
        </is>
      </c>
    </row>
    <row r="5" ht="15.75" customHeight="1" s="452" thickBot="1"/>
    <row r="6" ht="15.75" customHeight="1" s="452" thickBot="1">
      <c r="B6" s="455" t="inlineStr">
        <is>
          <t>1. İkili karşılaştırma matrisi – sarı hücrelere giriş yapınız</t>
        </is>
      </c>
      <c r="C6" s="438" t="n"/>
      <c r="D6" s="438" t="n"/>
      <c r="E6" s="438" t="n"/>
      <c r="F6" s="438" t="n"/>
      <c r="G6" s="438" t="n"/>
      <c r="H6" s="438" t="n"/>
      <c r="I6" s="439" t="n"/>
    </row>
    <row r="7" ht="62.1" customHeight="1" s="452">
      <c r="B7" s="374" t="n"/>
      <c r="C7" s="375" t="inlineStr">
        <is>
          <t>E-08 Toplam yıllık su çekimi/tüketimi</t>
        </is>
      </c>
      <c r="D7" s="375" t="inlineStr">
        <is>
          <t>E-09 Su kaynakları (Yeraltı, Yüzey, Şebeke)</t>
        </is>
      </c>
      <c r="E7" s="375" t="inlineStr">
        <is>
          <t>E-10 Toplam sulanan arazi varlığı (da)</t>
        </is>
      </c>
      <c r="F7" s="375" t="inlineStr">
        <is>
          <t>E-11 Su tasarrufu teknikleri (Damla/Yağmurlama)</t>
        </is>
      </c>
      <c r="G7" s="375" t="inlineStr">
        <is>
          <t>E-12 Atık su bertaraf ve arıtma yöntemleri</t>
        </is>
      </c>
      <c r="H7" s="375" t="inlineStr">
        <is>
          <t>E-13 Sulu Tarım oranı</t>
        </is>
      </c>
      <c r="I7" s="376" t="inlineStr">
        <is>
          <t>E-14 Yıllık Yağış</t>
        </is>
      </c>
      <c r="K7" s="238" t="inlineStr">
        <is>
          <t>Giriş açıklaması</t>
        </is>
      </c>
    </row>
    <row r="8" ht="32.1" customHeight="1" s="452">
      <c r="B8" s="377" t="inlineStr">
        <is>
          <t>E-08 Toplam yıllık su çekimi/tüketimi</t>
        </is>
      </c>
      <c r="C8" s="261" t="n">
        <v>1</v>
      </c>
      <c r="D8" s="262" t="n">
        <v>1</v>
      </c>
      <c r="E8" s="262" t="n">
        <v>3</v>
      </c>
      <c r="F8" s="262" t="n">
        <v>3</v>
      </c>
      <c r="G8" s="262" t="n">
        <v>6</v>
      </c>
      <c r="H8" s="262" t="n">
        <v>4</v>
      </c>
      <c r="I8" s="378" t="n">
        <v>6</v>
      </c>
      <c r="K8" s="435" t="inlineStr">
        <is>
          <t>Sarı hücrelere Saaty ölçeğinde 1–9 veya ters değerleri giriniz. Yeşil hücreler otomatik ters değerlerdir.</t>
        </is>
      </c>
    </row>
    <row r="9" ht="32.1" customHeight="1" s="452">
      <c r="B9" s="377" t="inlineStr">
        <is>
          <t>E-09 Su kaynakları (Yeraltı, Yüzey, Şebeke)</t>
        </is>
      </c>
      <c r="C9" s="263">
        <f>IFERROR(1/D8,"")</f>
        <v/>
      </c>
      <c r="D9" s="261" t="n">
        <v>1</v>
      </c>
      <c r="E9" s="262" t="n">
        <v>2</v>
      </c>
      <c r="F9" s="262" t="n">
        <v>2</v>
      </c>
      <c r="G9" s="262" t="n">
        <v>5</v>
      </c>
      <c r="H9" s="262" t="n">
        <v>3</v>
      </c>
      <c r="I9" s="378" t="n">
        <v>4</v>
      </c>
    </row>
    <row r="10" ht="32.1" customHeight="1" s="452">
      <c r="B10" s="377" t="inlineStr">
        <is>
          <t>E-10 Toplam sulanan arazi varlığı (da)</t>
        </is>
      </c>
      <c r="C10" s="263">
        <f>IFERROR(1/E8,"")</f>
        <v/>
      </c>
      <c r="D10" s="263">
        <f>IFERROR(1/E9,"")</f>
        <v/>
      </c>
      <c r="E10" s="261" t="n">
        <v>1</v>
      </c>
      <c r="F10" s="262" t="n">
        <v>0.5</v>
      </c>
      <c r="G10" s="262" t="n">
        <v>3</v>
      </c>
      <c r="H10" s="262" t="n">
        <v>1</v>
      </c>
      <c r="I10" s="378" t="n">
        <v>2</v>
      </c>
    </row>
    <row r="11" ht="32.1" customHeight="1" s="452">
      <c r="B11" s="377" t="inlineStr">
        <is>
          <t>E-11 Su tasarrufu teknikleri (Damla/Yağmurlama)</t>
        </is>
      </c>
      <c r="C11" s="263">
        <f>IFERROR(1/F8,"")</f>
        <v/>
      </c>
      <c r="D11" s="263">
        <f>IFERROR(1/F9,"")</f>
        <v/>
      </c>
      <c r="E11" s="263">
        <f>IFERROR(1/F10,"")</f>
        <v/>
      </c>
      <c r="F11" s="261" t="n">
        <v>1</v>
      </c>
      <c r="G11" s="262" t="n">
        <v>4</v>
      </c>
      <c r="H11" s="262" t="n">
        <v>2</v>
      </c>
      <c r="I11" s="378" t="n">
        <v>3</v>
      </c>
    </row>
    <row r="12" ht="32.1" customHeight="1" s="452">
      <c r="B12" s="377" t="inlineStr">
        <is>
          <t>E-12 Atık su bertaraf ve arıtma yöntemleri</t>
        </is>
      </c>
      <c r="C12" s="263">
        <f>IFERROR(1/G8,"")</f>
        <v/>
      </c>
      <c r="D12" s="263">
        <f>IFERROR(1/G9,"")</f>
        <v/>
      </c>
      <c r="E12" s="263">
        <f>IFERROR(1/G10,"")</f>
        <v/>
      </c>
      <c r="F12" s="263">
        <f>IFERROR(1/G11,"")</f>
        <v/>
      </c>
      <c r="G12" s="261" t="n">
        <v>1</v>
      </c>
      <c r="H12" s="262">
        <f>1/3</f>
        <v/>
      </c>
      <c r="I12" s="378" t="n">
        <v>0.5</v>
      </c>
    </row>
    <row r="13" ht="32.1" customHeight="1" s="452">
      <c r="B13" s="377" t="inlineStr">
        <is>
          <t>E-13 Sulu Tarım oranı</t>
        </is>
      </c>
      <c r="C13" s="263">
        <f>IFERROR(1/H8,"")</f>
        <v/>
      </c>
      <c r="D13" s="263">
        <f>IFERROR(1/H9,"")</f>
        <v/>
      </c>
      <c r="E13" s="263">
        <f>IFERROR(1/H10,"")</f>
        <v/>
      </c>
      <c r="F13" s="263">
        <f>IFERROR(1/H11,"")</f>
        <v/>
      </c>
      <c r="G13" s="263">
        <f>IFERROR(1/H12,"")</f>
        <v/>
      </c>
      <c r="H13" s="261" t="n">
        <v>1</v>
      </c>
      <c r="I13" s="378" t="n">
        <v>2</v>
      </c>
    </row>
    <row r="14" ht="32.1" customHeight="1" s="452" thickBot="1">
      <c r="B14" s="379" t="inlineStr">
        <is>
          <t>E-14 Yıllık Yağış</t>
        </is>
      </c>
      <c r="C14" s="380">
        <f>IFERROR(1/I8,"")</f>
        <v/>
      </c>
      <c r="D14" s="380">
        <f>IFERROR(1/I9,"")</f>
        <v/>
      </c>
      <c r="E14" s="380">
        <f>IFERROR(1/I10,"")</f>
        <v/>
      </c>
      <c r="F14" s="380">
        <f>IFERROR(1/I11,"")</f>
        <v/>
      </c>
      <c r="G14" s="380">
        <f>IFERROR(1/I12,"")</f>
        <v/>
      </c>
      <c r="H14" s="380">
        <f>IFERROR(1/I13,"")</f>
        <v/>
      </c>
      <c r="I14" s="381" t="n">
        <v>1</v>
      </c>
    </row>
    <row r="16" ht="15.75" customHeight="1" s="452" thickBot="1"/>
    <row r="17" ht="15.75" customHeight="1" s="452" thickBot="1">
      <c r="B17" s="437" t="inlineStr">
        <is>
          <t>2. Normalize matris ve yerel ağırlıklar</t>
        </is>
      </c>
      <c r="C17" s="438" t="n"/>
      <c r="D17" s="438" t="n"/>
      <c r="E17" s="438" t="n"/>
      <c r="F17" s="438" t="n"/>
      <c r="G17" s="438" t="n"/>
      <c r="H17" s="438" t="n"/>
      <c r="I17" s="438" t="n"/>
      <c r="J17" s="402" t="n"/>
      <c r="K17" s="438" t="n"/>
      <c r="L17" s="438" t="n"/>
      <c r="M17" s="438" t="n"/>
      <c r="N17" s="438" t="n"/>
      <c r="O17" s="438" t="n"/>
      <c r="P17" s="438" t="n"/>
      <c r="Q17" s="439" t="n"/>
    </row>
    <row r="18" ht="60" customHeight="1" s="452">
      <c r="B18" s="394" t="n"/>
      <c r="C18" s="383" t="inlineStr">
        <is>
          <t>E-08 Toplam yıllık su çekimi/tüketimi</t>
        </is>
      </c>
      <c r="D18" s="383" t="inlineStr">
        <is>
          <t>E-09 Su kaynakları (Yeraltı, Yüzey, Şebeke)</t>
        </is>
      </c>
      <c r="E18" s="383" t="inlineStr">
        <is>
          <t>E-10 Toplam sulanan arazi varlığı (da)</t>
        </is>
      </c>
      <c r="F18" s="383" t="inlineStr">
        <is>
          <t>E-11 Su tasarrufu teknikleri (Damla/Yağmurlama)</t>
        </is>
      </c>
      <c r="G18" s="383" t="inlineStr">
        <is>
          <t>E-12 Atık su bertaraf ve arıtma yöntemleri</t>
        </is>
      </c>
      <c r="H18" s="383" t="inlineStr">
        <is>
          <t>E-13 Sulu Tarım oranı</t>
        </is>
      </c>
      <c r="I18" s="383" t="inlineStr">
        <is>
          <t>E-14 Yıllık Yağış</t>
        </is>
      </c>
      <c r="J18" s="384" t="inlineStr">
        <is>
          <t>Yerel ağırlık</t>
        </is>
      </c>
      <c r="Q18" s="355" t="n"/>
    </row>
    <row r="19">
      <c r="B19" s="377" t="inlineStr">
        <is>
          <t>E-08 Toplam yıllık su çekimi/tüketimi</t>
        </is>
      </c>
      <c r="C19" s="244">
        <f>IFERROR(C8/C$26,"")</f>
        <v/>
      </c>
      <c r="D19" s="244">
        <f>IFERROR(D8/D$26,"")</f>
        <v/>
      </c>
      <c r="E19" s="244">
        <f>IFERROR(E8/E$26,"")</f>
        <v/>
      </c>
      <c r="F19" s="244">
        <f>IFERROR(F8/F$26,"")</f>
        <v/>
      </c>
      <c r="G19" s="244">
        <f>IFERROR(G8/G$26,"")</f>
        <v/>
      </c>
      <c r="H19" s="244">
        <f>IFERROR(H8/H$26,"")</f>
        <v/>
      </c>
      <c r="I19" s="244">
        <f>IFERROR(I8/I$26,"")</f>
        <v/>
      </c>
      <c r="J19" s="349">
        <f>IFERROR(AVERAGE(C19:I19),"")</f>
        <v/>
      </c>
      <c r="Q19" s="355" t="n"/>
    </row>
    <row r="20">
      <c r="B20" s="377" t="inlineStr">
        <is>
          <t>E-09 Su kaynakları (Yeraltı, Yüzey, Şebeke)</t>
        </is>
      </c>
      <c r="C20" s="244">
        <f>IFERROR(C9/C$26,"")</f>
        <v/>
      </c>
      <c r="D20" s="244">
        <f>IFERROR(D9/D$26,"")</f>
        <v/>
      </c>
      <c r="E20" s="244">
        <f>IFERROR(E9/E$26,"")</f>
        <v/>
      </c>
      <c r="F20" s="244">
        <f>IFERROR(F9/F$26,"")</f>
        <v/>
      </c>
      <c r="G20" s="244">
        <f>IFERROR(G9/G$26,"")</f>
        <v/>
      </c>
      <c r="H20" s="244">
        <f>IFERROR(H9/H$26,"")</f>
        <v/>
      </c>
      <c r="I20" s="244">
        <f>IFERROR(I9/I$26,"")</f>
        <v/>
      </c>
      <c r="J20" s="349">
        <f>IFERROR(AVERAGE(C20:I20),"")</f>
        <v/>
      </c>
      <c r="Q20" s="355" t="n"/>
    </row>
    <row r="21">
      <c r="B21" s="377" t="inlineStr">
        <is>
          <t>E-10 Toplam sulanan arazi varlığı (da)</t>
        </is>
      </c>
      <c r="C21" s="244">
        <f>IFERROR(C10/C$26,"")</f>
        <v/>
      </c>
      <c r="D21" s="244">
        <f>IFERROR(D10/D$26,"")</f>
        <v/>
      </c>
      <c r="E21" s="244">
        <f>IFERROR(E10/E$26,"")</f>
        <v/>
      </c>
      <c r="F21" s="244">
        <f>IFERROR(F10/F$26,"")</f>
        <v/>
      </c>
      <c r="G21" s="244">
        <f>IFERROR(G10/G$26,"")</f>
        <v/>
      </c>
      <c r="H21" s="244">
        <f>IFERROR(H10/H$26,"")</f>
        <v/>
      </c>
      <c r="I21" s="244">
        <f>IFERROR(I10/I$26,"")</f>
        <v/>
      </c>
      <c r="J21" s="349">
        <f>IFERROR(AVERAGE(C21:I21),"")</f>
        <v/>
      </c>
      <c r="Q21" s="355" t="n"/>
    </row>
    <row r="22">
      <c r="B22" s="377" t="inlineStr">
        <is>
          <t>E-11 Su tasarrufu teknikleri (Damla/Yağmurlama)</t>
        </is>
      </c>
      <c r="C22" s="244">
        <f>IFERROR(C11/C$26,"")</f>
        <v/>
      </c>
      <c r="D22" s="244">
        <f>IFERROR(D11/D$26,"")</f>
        <v/>
      </c>
      <c r="E22" s="244">
        <f>IFERROR(E11/E$26,"")</f>
        <v/>
      </c>
      <c r="F22" s="244">
        <f>IFERROR(F11/F$26,"")</f>
        <v/>
      </c>
      <c r="G22" s="244">
        <f>IFERROR(G11/G$26,"")</f>
        <v/>
      </c>
      <c r="H22" s="244">
        <f>IFERROR(H11/H$26,"")</f>
        <v/>
      </c>
      <c r="I22" s="244">
        <f>IFERROR(I11/I$26,"")</f>
        <v/>
      </c>
      <c r="J22" s="349">
        <f>IFERROR(AVERAGE(C22:I22),"")</f>
        <v/>
      </c>
      <c r="Q22" s="355" t="n"/>
    </row>
    <row r="23">
      <c r="B23" s="377" t="inlineStr">
        <is>
          <t>E-12 Atık su bertaraf ve arıtma yöntemleri</t>
        </is>
      </c>
      <c r="C23" s="244">
        <f>IFERROR(C12/C$26,"")</f>
        <v/>
      </c>
      <c r="D23" s="244">
        <f>IFERROR(D12/D$26,"")</f>
        <v/>
      </c>
      <c r="E23" s="244">
        <f>IFERROR(E12/E$26,"")</f>
        <v/>
      </c>
      <c r="F23" s="244">
        <f>IFERROR(F12/F$26,"")</f>
        <v/>
      </c>
      <c r="G23" s="244">
        <f>IFERROR(G12/G$26,"")</f>
        <v/>
      </c>
      <c r="H23" s="244">
        <f>IFERROR(H12/H$26,"")</f>
        <v/>
      </c>
      <c r="I23" s="244">
        <f>IFERROR(I12/I$26,"")</f>
        <v/>
      </c>
      <c r="J23" s="349">
        <f>IFERROR(AVERAGE(C23:I23),"")</f>
        <v/>
      </c>
      <c r="Q23" s="355" t="n"/>
    </row>
    <row r="24">
      <c r="B24" s="377" t="inlineStr">
        <is>
          <t>E-13 Sulu Tarım oranı</t>
        </is>
      </c>
      <c r="C24" s="244">
        <f>IFERROR(C13/C$26,"")</f>
        <v/>
      </c>
      <c r="D24" s="244">
        <f>IFERROR(D13/D$26,"")</f>
        <v/>
      </c>
      <c r="E24" s="244">
        <f>IFERROR(E13/E$26,"")</f>
        <v/>
      </c>
      <c r="F24" s="244">
        <f>IFERROR(F13/F$26,"")</f>
        <v/>
      </c>
      <c r="G24" s="244">
        <f>IFERROR(G13/G$26,"")</f>
        <v/>
      </c>
      <c r="H24" s="244">
        <f>IFERROR(H13/H$26,"")</f>
        <v/>
      </c>
      <c r="I24" s="244">
        <f>IFERROR(I13/I$26,"")</f>
        <v/>
      </c>
      <c r="J24" s="349">
        <f>IFERROR(AVERAGE(C24:I24),"")</f>
        <v/>
      </c>
      <c r="Q24" s="355" t="n"/>
    </row>
    <row r="25">
      <c r="B25" s="377" t="inlineStr">
        <is>
          <t>E-14 Yıllık Yağış</t>
        </is>
      </c>
      <c r="C25" s="244">
        <f>IFERROR(C14/C$26,"")</f>
        <v/>
      </c>
      <c r="D25" s="244">
        <f>IFERROR(D14/D$26,"")</f>
        <v/>
      </c>
      <c r="E25" s="244">
        <f>IFERROR(E14/E$26,"")</f>
        <v/>
      </c>
      <c r="F25" s="244">
        <f>IFERROR(F14/F$26,"")</f>
        <v/>
      </c>
      <c r="G25" s="244">
        <f>IFERROR(G14/G$26,"")</f>
        <v/>
      </c>
      <c r="H25" s="244">
        <f>IFERROR(H14/H$26,"")</f>
        <v/>
      </c>
      <c r="I25" s="244">
        <f>IFERROR(I14/I$26,"")</f>
        <v/>
      </c>
      <c r="J25" s="349">
        <f>IFERROR(AVERAGE(C25:I25),"")</f>
        <v/>
      </c>
      <c r="Q25" s="355" t="n"/>
    </row>
    <row r="26">
      <c r="B26" s="395" t="inlineStr">
        <is>
          <t>Sütun toplamı</t>
        </is>
      </c>
      <c r="C26" s="247">
        <f>SUM(C8:C14)</f>
        <v/>
      </c>
      <c r="D26" s="247">
        <f>SUM(D8:D14)</f>
        <v/>
      </c>
      <c r="E26" s="247">
        <f>SUM(E8:E14)</f>
        <v/>
      </c>
      <c r="F26" s="247">
        <f>SUM(F8:F14)</f>
        <v/>
      </c>
      <c r="G26" s="247">
        <f>SUM(G8:G14)</f>
        <v/>
      </c>
      <c r="H26" s="247">
        <f>SUM(H8:H14)</f>
        <v/>
      </c>
      <c r="I26" s="247">
        <f>SUM(I8:I14)</f>
        <v/>
      </c>
      <c r="J26" s="355" t="n"/>
      <c r="Q26" s="355" t="n"/>
    </row>
    <row r="27" hidden="1" s="452">
      <c r="B27" s="354" t="n"/>
      <c r="J27" s="355" t="n"/>
      <c r="Q27" s="355" t="n"/>
    </row>
    <row r="28" ht="15.75" customHeight="1" s="452" thickBot="1">
      <c r="B28" s="459" t="inlineStr">
        <is>
          <t>Ağırlık toplamı</t>
        </is>
      </c>
      <c r="C28" s="456" t="n"/>
      <c r="D28" s="456" t="n"/>
      <c r="E28" s="456" t="n"/>
      <c r="F28" s="456" t="n"/>
      <c r="G28" s="456" t="n"/>
      <c r="H28" s="456" t="n"/>
      <c r="I28" s="456" t="n"/>
      <c r="J28" s="456">
        <f>SUM(J19:J25)</f>
        <v/>
      </c>
      <c r="K28" s="369" t="n"/>
      <c r="L28" s="369" t="n"/>
      <c r="M28" s="369" t="n"/>
      <c r="N28" s="369" t="n"/>
      <c r="O28" s="369" t="n"/>
      <c r="P28" s="369" t="n"/>
      <c r="Q28" s="387" t="n"/>
    </row>
    <row r="30">
      <c r="B30" s="433" t="inlineStr">
        <is>
          <t>3. Tutarlılık analizi</t>
        </is>
      </c>
    </row>
    <row r="31">
      <c r="B31" s="249" t="inlineStr">
        <is>
          <t>λmax</t>
        </is>
      </c>
      <c r="J31" s="244">
        <f>C26*J19+D26*J20+E26*J21+F26*J22+G26*J23+H26*J24+I26*J25</f>
        <v/>
      </c>
    </row>
    <row r="32">
      <c r="B32" s="249" t="inlineStr">
        <is>
          <t>CI</t>
        </is>
      </c>
      <c r="J32" s="244">
        <f>IFERROR((J31-7)/(7-1),"")</f>
        <v/>
      </c>
    </row>
    <row r="33">
      <c r="B33" s="249" t="inlineStr">
        <is>
          <t>RI (n=7)</t>
        </is>
      </c>
      <c r="J33" s="244" t="n">
        <v>1.32</v>
      </c>
    </row>
    <row r="34">
      <c r="B34" s="249" t="inlineStr">
        <is>
          <t>CR</t>
        </is>
      </c>
      <c r="J34" s="244">
        <f>IFERROR(J32/J33,"")</f>
        <v/>
      </c>
    </row>
    <row r="35">
      <c r="B35" s="249" t="inlineStr">
        <is>
          <t>Karar</t>
        </is>
      </c>
      <c r="J35" s="244">
        <f>IF(COUNT(D8,E8,F8,G8,H8,I8,E9,F9,G9,H9,I9,F10,G10,H10,I10,G11,H11,I11,H12,I12,I13)&lt;21,"Veri bekleniyor",IF(J34&lt;=0.1,"Tutarlı (CR ≤ 0,10)","Gözden geçirilmeli (CR &gt; 0,10)"))</f>
        <v/>
      </c>
    </row>
  </sheetData>
  <mergeCells count="7">
    <mergeCell ref="K8:M14"/>
    <mergeCell ref="B17:I17"/>
    <mergeCell ref="B6:I6"/>
    <mergeCell ref="C4:L4"/>
    <mergeCell ref="B2:L2"/>
    <mergeCell ref="B30:J30"/>
    <mergeCell ref="J17:Q17"/>
  </mergeCells>
  <pageMargins left="0.75" right="0.75" top="1" bottom="1" header="0.5" footer="0.5"/>
</worksheet>
</file>

<file path=xl/worksheets/sheet8.xml><?xml version="1.0" encoding="utf-8"?>
<worksheet xmlns="http://schemas.openxmlformats.org/spreadsheetml/2006/main">
  <sheetPr codeName="Sayfa24">
    <outlinePr summaryBelow="1" summaryRight="1"/>
    <pageSetUpPr/>
  </sheetPr>
  <dimension ref="B2:K31"/>
  <sheetViews>
    <sheetView showGridLines="0" workbookViewId="0">
      <pane xSplit="2" ySplit="7" topLeftCell="C17" activePane="bottomRight" state="frozen"/>
      <selection pane="topRight" activeCell="A1" sqref="A1"/>
      <selection pane="bottomLeft" activeCell="A1" sqref="A1"/>
      <selection pane="bottomRight" activeCell="H1" sqref="B1:H1048576"/>
    </sheetView>
  </sheetViews>
  <sheetFormatPr baseColWidth="8" defaultRowHeight="15"/>
  <cols>
    <col width="48" customWidth="1" style="452" min="2" max="2"/>
    <col width="18" customWidth="1" style="452" min="3" max="11"/>
  </cols>
  <sheetData>
    <row r="2" ht="18.75" customHeight="1" s="452">
      <c r="B2" s="436" t="inlineStr">
        <is>
          <t>Çevre → Biyoçeşitlilik ve Toprak Göstergeleri AHP</t>
        </is>
      </c>
    </row>
    <row r="4">
      <c r="B4" s="238" t="inlineStr">
        <is>
          <t>Karşılaştırma düzeyi</t>
        </is>
      </c>
      <c r="C4" t="inlineStr">
        <is>
          <t>Çevre → Biyoçeşitlilik ve Toprak</t>
        </is>
      </c>
    </row>
    <row r="5" ht="15.75" customHeight="1" s="452" thickBot="1"/>
    <row r="6">
      <c r="B6" s="455" t="inlineStr">
        <is>
          <t>1. İkili karşılaştırma matrisi – sarı hücrelere giriş yapınız</t>
        </is>
      </c>
      <c r="C6" s="438" t="n"/>
      <c r="D6" s="438" t="n"/>
      <c r="E6" s="438" t="n"/>
      <c r="F6" s="438" t="n"/>
      <c r="G6" s="439" t="n"/>
    </row>
    <row r="7" ht="75.75" customHeight="1" s="452" thickBot="1">
      <c r="B7" s="400" t="n"/>
      <c r="C7" s="399" t="inlineStr">
        <is>
          <t>E-15 Korunan alanlara veya hassas ekosistemlere yakınlık</t>
        </is>
      </c>
      <c r="D7" s="399" t="inlineStr">
        <is>
          <t>E-16 Biyoçeşitliliği destekleme projeleri</t>
        </is>
      </c>
      <c r="E7" s="399" t="inlineStr">
        <is>
          <t>E-17 Toprak analizi</t>
        </is>
      </c>
      <c r="F7" s="399" t="inlineStr">
        <is>
          <t>E-18 Münavebe</t>
        </is>
      </c>
      <c r="G7" s="401" t="inlineStr">
        <is>
          <t>E-19 Erozyonla mücadele</t>
        </is>
      </c>
      <c r="I7" s="238" t="inlineStr">
        <is>
          <t>Giriş açıklaması</t>
        </is>
      </c>
    </row>
    <row r="8" ht="32.1" customHeight="1" s="452">
      <c r="B8" s="390" t="inlineStr">
        <is>
          <t>E-15 Korunan alanlara veya hassas ekosistemlere yakınlık</t>
        </is>
      </c>
      <c r="C8" s="391" t="n">
        <v>1</v>
      </c>
      <c r="D8" s="392" t="n">
        <v>0.5</v>
      </c>
      <c r="E8" s="392" t="n">
        <v>6</v>
      </c>
      <c r="F8" s="392" t="n">
        <v>3</v>
      </c>
      <c r="G8" s="393" t="n">
        <v>4</v>
      </c>
      <c r="I8" s="435" t="inlineStr">
        <is>
          <t>Sarı hücrelere Saaty ölçeğinde 1–9 veya ters değerleri giriniz. Yeşil hücreler otomatik ters değerlerdir.</t>
        </is>
      </c>
    </row>
    <row r="9" ht="32.1" customHeight="1" s="452">
      <c r="B9" s="377" t="inlineStr">
        <is>
          <t>E-16 Biyoçeşitliliği destekleme projeleri</t>
        </is>
      </c>
      <c r="C9" s="263">
        <f>IFERROR(1/D8,"")</f>
        <v/>
      </c>
      <c r="D9" s="261" t="n">
        <v>1</v>
      </c>
      <c r="E9" s="262" t="n">
        <v>7</v>
      </c>
      <c r="F9" s="262" t="n">
        <v>4</v>
      </c>
      <c r="G9" s="378" t="n">
        <v>5</v>
      </c>
    </row>
    <row r="10" ht="32.1" customHeight="1" s="452">
      <c r="B10" s="377" t="inlineStr">
        <is>
          <t>E-17 Toprak analizi</t>
        </is>
      </c>
      <c r="C10" s="263">
        <f>IFERROR(1/E8,"")</f>
        <v/>
      </c>
      <c r="D10" s="263">
        <f>IFERROR(1/E9,"")</f>
        <v/>
      </c>
      <c r="E10" s="261" t="n">
        <v>1</v>
      </c>
      <c r="F10" s="262" t="n">
        <v>0.5</v>
      </c>
      <c r="G10" s="378" t="n">
        <v>0.25</v>
      </c>
    </row>
    <row r="11" ht="32.1" customHeight="1" s="452">
      <c r="B11" s="377" t="inlineStr">
        <is>
          <t>E-18 Münavebe</t>
        </is>
      </c>
      <c r="C11" s="263">
        <f>IFERROR(1/F8,"")</f>
        <v/>
      </c>
      <c r="D11" s="263">
        <f>IFERROR(1/F9,"")</f>
        <v/>
      </c>
      <c r="E11" s="263">
        <f>IFERROR(1/F10,"")</f>
        <v/>
      </c>
      <c r="F11" s="261" t="n">
        <v>1</v>
      </c>
      <c r="G11" s="378" t="n">
        <v>0.5</v>
      </c>
    </row>
    <row r="12" ht="32.1" customHeight="1" s="452" thickBot="1">
      <c r="B12" s="379" t="inlineStr">
        <is>
          <t>E-19 Erozyonla mücadele</t>
        </is>
      </c>
      <c r="C12" s="380">
        <f>IFERROR(1/G8,"")</f>
        <v/>
      </c>
      <c r="D12" s="380">
        <f>IFERROR(1/G9,"")</f>
        <v/>
      </c>
      <c r="E12" s="380">
        <f>IFERROR(1/G10,"")</f>
        <v/>
      </c>
      <c r="F12" s="380">
        <f>IFERROR(1/G11,"")</f>
        <v/>
      </c>
      <c r="G12" s="381" t="n">
        <v>1</v>
      </c>
    </row>
    <row r="14" ht="15.75" customHeight="1" s="452" thickBot="1"/>
    <row r="15" ht="15.75" customHeight="1" s="452" thickBot="1">
      <c r="B15" s="437" t="inlineStr">
        <is>
          <t>2. Normalize matris ve yerel ağırlıklar</t>
        </is>
      </c>
      <c r="C15" s="438" t="n"/>
      <c r="D15" s="438" t="n"/>
      <c r="E15" s="438" t="n"/>
      <c r="F15" s="438" t="n"/>
      <c r="G15" s="438" t="n"/>
      <c r="H15" s="402" t="n"/>
    </row>
    <row r="16" ht="75" customHeight="1" s="452">
      <c r="B16" s="394" t="n"/>
      <c r="C16" s="383" t="inlineStr">
        <is>
          <t>E-15 Korunan alanlara veya hassas ekosistemlere yakınlık</t>
        </is>
      </c>
      <c r="D16" s="383" t="inlineStr">
        <is>
          <t>E-16 Biyoçeşitliliği destekleme projeleri</t>
        </is>
      </c>
      <c r="E16" s="383" t="inlineStr">
        <is>
          <t>E-17 Toprak analizi</t>
        </is>
      </c>
      <c r="F16" s="383" t="inlineStr">
        <is>
          <t>E-18 Münavebe</t>
        </is>
      </c>
      <c r="G16" s="383" t="inlineStr">
        <is>
          <t>E-19 Erozyonla mücadele</t>
        </is>
      </c>
      <c r="H16" s="384" t="inlineStr">
        <is>
          <t>Yerel ağırlık</t>
        </is>
      </c>
    </row>
    <row r="17" ht="30" customHeight="1" s="452">
      <c r="B17" s="377" t="inlineStr">
        <is>
          <t>E-15 Korunan alanlara veya hassas ekosistemlere yakınlık</t>
        </is>
      </c>
      <c r="C17" s="244">
        <f>IFERROR(C8/C$22,"")</f>
        <v/>
      </c>
      <c r="D17" s="244">
        <f>IFERROR(D8/D$22,"")</f>
        <v/>
      </c>
      <c r="E17" s="244">
        <f>IFERROR(E8/E$22,"")</f>
        <v/>
      </c>
      <c r="F17" s="244">
        <f>IFERROR(F8/F$22,"")</f>
        <v/>
      </c>
      <c r="G17" s="244">
        <f>IFERROR(G8/G$22,"")</f>
        <v/>
      </c>
      <c r="H17" s="349">
        <f>IFERROR(AVERAGE(C17:G17),"")</f>
        <v/>
      </c>
    </row>
    <row r="18">
      <c r="B18" s="377" t="inlineStr">
        <is>
          <t>E-16 Biyoçeşitliliği destekleme projeleri</t>
        </is>
      </c>
      <c r="C18" s="244">
        <f>IFERROR(C9/C$22,"")</f>
        <v/>
      </c>
      <c r="D18" s="244">
        <f>IFERROR(D9/D$22,"")</f>
        <v/>
      </c>
      <c r="E18" s="244">
        <f>IFERROR(E9/E$22,"")</f>
        <v/>
      </c>
      <c r="F18" s="244">
        <f>IFERROR(F9/F$22,"")</f>
        <v/>
      </c>
      <c r="G18" s="244">
        <f>IFERROR(G9/G$22,"")</f>
        <v/>
      </c>
      <c r="H18" s="349">
        <f>IFERROR(AVERAGE(C18:G18),"")</f>
        <v/>
      </c>
    </row>
    <row r="19">
      <c r="B19" s="377" t="inlineStr">
        <is>
          <t>E-17 Toprak analizi</t>
        </is>
      </c>
      <c r="C19" s="244">
        <f>IFERROR(C10/C$22,"")</f>
        <v/>
      </c>
      <c r="D19" s="244">
        <f>IFERROR(D10/D$22,"")</f>
        <v/>
      </c>
      <c r="E19" s="244">
        <f>IFERROR(E10/E$22,"")</f>
        <v/>
      </c>
      <c r="F19" s="244">
        <f>IFERROR(F10/F$22,"")</f>
        <v/>
      </c>
      <c r="G19" s="244">
        <f>IFERROR(G10/G$22,"")</f>
        <v/>
      </c>
      <c r="H19" s="349">
        <f>IFERROR(AVERAGE(C19:G19),"")</f>
        <v/>
      </c>
    </row>
    <row r="20">
      <c r="B20" s="377" t="inlineStr">
        <is>
          <t>E-18 Münavebe</t>
        </is>
      </c>
      <c r="C20" s="244">
        <f>IFERROR(C11/C$22,"")</f>
        <v/>
      </c>
      <c r="D20" s="244">
        <f>IFERROR(D11/D$22,"")</f>
        <v/>
      </c>
      <c r="E20" s="244">
        <f>IFERROR(E11/E$22,"")</f>
        <v/>
      </c>
      <c r="F20" s="244">
        <f>IFERROR(F11/F$22,"")</f>
        <v/>
      </c>
      <c r="G20" s="244">
        <f>IFERROR(G11/G$22,"")</f>
        <v/>
      </c>
      <c r="H20" s="349">
        <f>IFERROR(AVERAGE(C20:G20),"")</f>
        <v/>
      </c>
    </row>
    <row r="21">
      <c r="B21" s="377" t="inlineStr">
        <is>
          <t>E-19 Erozyonla mücadele</t>
        </is>
      </c>
      <c r="C21" s="244">
        <f>IFERROR(C12/C$22,"")</f>
        <v/>
      </c>
      <c r="D21" s="244">
        <f>IFERROR(D12/D$22,"")</f>
        <v/>
      </c>
      <c r="E21" s="244">
        <f>IFERROR(E12/E$22,"")</f>
        <v/>
      </c>
      <c r="F21" s="244">
        <f>IFERROR(F12/F$22,"")</f>
        <v/>
      </c>
      <c r="G21" s="244">
        <f>IFERROR(G12/G$22,"")</f>
        <v/>
      </c>
      <c r="H21" s="349">
        <f>IFERROR(AVERAGE(C21:G21),"")</f>
        <v/>
      </c>
    </row>
    <row r="22">
      <c r="B22" s="395" t="inlineStr">
        <is>
          <t>Sütun toplamı</t>
        </is>
      </c>
      <c r="C22" s="247">
        <f>SUM(C8:C12)</f>
        <v/>
      </c>
      <c r="D22" s="247">
        <f>SUM(D8:D12)</f>
        <v/>
      </c>
      <c r="E22" s="247">
        <f>SUM(E8:E12)</f>
        <v/>
      </c>
      <c r="F22" s="247">
        <f>SUM(F8:F12)</f>
        <v/>
      </c>
      <c r="G22" s="247">
        <f>SUM(G8:G12)</f>
        <v/>
      </c>
      <c r="H22" s="355" t="n"/>
    </row>
    <row r="23" hidden="1" s="452">
      <c r="B23" s="354" t="n"/>
      <c r="H23" s="355" t="n"/>
    </row>
    <row r="24" ht="15.75" customHeight="1" s="452" thickBot="1">
      <c r="B24" s="459" t="inlineStr">
        <is>
          <t>Ağırlık toplamı</t>
        </is>
      </c>
      <c r="C24" s="456" t="n"/>
      <c r="D24" s="456" t="n"/>
      <c r="E24" s="456" t="n"/>
      <c r="F24" s="456" t="n"/>
      <c r="G24" s="456" t="n"/>
      <c r="H24" s="456">
        <f>SUM(H17:H21)</f>
        <v/>
      </c>
    </row>
    <row r="25" ht="15.75" customHeight="1" s="452" thickBot="1"/>
    <row r="26" ht="15.75" customHeight="1" s="452" thickBot="1">
      <c r="B26" s="455" t="inlineStr">
        <is>
          <t>3. Tutarlılık analizi</t>
        </is>
      </c>
      <c r="C26" s="438" t="n"/>
      <c r="D26" s="438" t="n"/>
      <c r="E26" s="438" t="n"/>
      <c r="F26" s="438" t="n"/>
      <c r="G26" s="438" t="n"/>
      <c r="H26" s="439" t="n"/>
    </row>
    <row r="27">
      <c r="B27" s="371" t="inlineStr">
        <is>
          <t>λmax</t>
        </is>
      </c>
      <c r="C27" s="438" t="n"/>
      <c r="D27" s="438" t="n"/>
      <c r="E27" s="438" t="n"/>
      <c r="F27" s="438" t="n"/>
      <c r="G27" s="438" t="n"/>
      <c r="H27" s="396">
        <f>C22*H17+D22*H18+E22*H19+F22*H20+G22*H21</f>
        <v/>
      </c>
    </row>
    <row r="28">
      <c r="B28" s="365" t="inlineStr">
        <is>
          <t>CI</t>
        </is>
      </c>
      <c r="H28" s="367">
        <f>IFERROR((H27-5)/(5-1),"")</f>
        <v/>
      </c>
    </row>
    <row r="29">
      <c r="B29" s="365" t="inlineStr">
        <is>
          <t>RI (n=5)</t>
        </is>
      </c>
      <c r="H29" s="367" t="n">
        <v>1.12</v>
      </c>
    </row>
    <row r="30">
      <c r="B30" s="365" t="inlineStr">
        <is>
          <t>CR</t>
        </is>
      </c>
      <c r="H30" s="367">
        <f>IFERROR(H28/H29,"")</f>
        <v/>
      </c>
    </row>
    <row r="31" ht="15.75" customHeight="1" s="452" thickBot="1">
      <c r="B31" s="368" t="inlineStr">
        <is>
          <t>Karar</t>
        </is>
      </c>
      <c r="C31" s="369" t="n"/>
      <c r="D31" s="369" t="n"/>
      <c r="E31" s="369" t="n"/>
      <c r="F31" s="369" t="n"/>
      <c r="G31" s="369" t="n"/>
      <c r="H31" s="370">
        <f>IF(COUNT(D8,E8,F8,G8,E9,F9,G9,F10,G10,G11)&lt;10,"Veri bekleniyor",IF(H30&lt;=0.1,"Tutarlı (CR ≤ 0,10)","Gözden geçirilmeli (CR &gt; 0,10)"))</f>
        <v/>
      </c>
    </row>
  </sheetData>
  <mergeCells count="6">
    <mergeCell ref="C4:J4"/>
    <mergeCell ref="B26:H26"/>
    <mergeCell ref="I8:K12"/>
    <mergeCell ref="B15:G15"/>
    <mergeCell ref="B2:J2"/>
    <mergeCell ref="B6:G6"/>
  </mergeCells>
  <pageMargins left="0.75" right="0.75" top="1" bottom="1" header="0.5" footer="0.5"/>
</worksheet>
</file>

<file path=xl/worksheets/sheet9.xml><?xml version="1.0" encoding="utf-8"?>
<worksheet xmlns="http://schemas.openxmlformats.org/spreadsheetml/2006/main">
  <sheetPr codeName="Sayfa25">
    <outlinePr summaryBelow="1" summaryRight="1"/>
    <pageSetUpPr/>
  </sheetPr>
  <dimension ref="B2:M35"/>
  <sheetViews>
    <sheetView showGridLines="0" workbookViewId="0">
      <pane xSplit="2" ySplit="7" topLeftCell="C23" activePane="bottomRight" state="frozen"/>
      <selection pane="topRight" activeCell="A1" sqref="A1"/>
      <selection pane="bottomLeft" activeCell="A1" sqref="A1"/>
      <selection pane="bottomRight" activeCell="B1" sqref="B1:J1048576"/>
    </sheetView>
  </sheetViews>
  <sheetFormatPr baseColWidth="8" defaultRowHeight="15"/>
  <cols>
    <col width="48" customWidth="1" style="452" min="2" max="2"/>
    <col width="18" customWidth="1" style="452" min="3" max="13"/>
  </cols>
  <sheetData>
    <row r="2" ht="18.75" customHeight="1" s="452">
      <c r="B2" s="436" t="inlineStr">
        <is>
          <t>Çevre → Atıklar ve Kimyasallar Göstergeleri AHP</t>
        </is>
      </c>
    </row>
    <row r="4">
      <c r="B4" s="238" t="inlineStr">
        <is>
          <t>Karşılaştırma düzeyi</t>
        </is>
      </c>
      <c r="C4" t="inlineStr">
        <is>
          <t>Çevre → Atıklar ve Kimyasallar</t>
        </is>
      </c>
    </row>
    <row r="5" ht="15.75" customHeight="1" s="452" thickBot="1"/>
    <row r="6">
      <c r="B6" s="455" t="inlineStr">
        <is>
          <t>1. İkili karşılaştırma matrisi – sarı hücrelere giriş yapınız</t>
        </is>
      </c>
      <c r="C6" s="438" t="n"/>
      <c r="D6" s="438" t="n"/>
      <c r="E6" s="438" t="n"/>
      <c r="F6" s="438" t="n"/>
      <c r="G6" s="438" t="n"/>
      <c r="H6" s="438" t="n"/>
      <c r="I6" s="439" t="n"/>
    </row>
    <row r="7" ht="62.1" customHeight="1" s="452" thickBot="1">
      <c r="B7" s="399" t="n"/>
      <c r="C7" s="399" t="inlineStr">
        <is>
          <t>E-20 Gübre Kullanımı (Organik/İnorganik)</t>
        </is>
      </c>
      <c r="D7" s="399" t="inlineStr">
        <is>
          <t>E-21 Hayvansal gübre yönetimi</t>
        </is>
      </c>
      <c r="E7" s="399" t="inlineStr">
        <is>
          <t>E-22 Kimyasal İlaç Kullanımı</t>
        </is>
      </c>
      <c r="F7" s="399" t="inlineStr">
        <is>
          <t>E-23 Biyolojik mücadele</t>
        </is>
      </c>
      <c r="G7" s="399" t="inlineStr">
        <is>
          <t>E-24 Tehlikeli Atık Bertarafı</t>
        </is>
      </c>
      <c r="H7" s="399" t="inlineStr">
        <is>
          <t>E-25 Kimyasal Muhafaza Depoları</t>
        </is>
      </c>
      <c r="I7" s="401" t="inlineStr">
        <is>
          <t>E-26 Ambalaj</t>
        </is>
      </c>
      <c r="K7" s="238" t="inlineStr">
        <is>
          <t>Giriş açıklaması</t>
        </is>
      </c>
    </row>
    <row r="8" ht="32.1" customHeight="1" s="452">
      <c r="B8" s="390" t="inlineStr">
        <is>
          <t>E-20 Gübre Kullanımı (Organik/İnorganik)</t>
        </is>
      </c>
      <c r="C8" s="391" t="n">
        <v>1</v>
      </c>
      <c r="D8" s="392" t="n">
        <v>4</v>
      </c>
      <c r="E8" s="392" t="n">
        <v>2</v>
      </c>
      <c r="F8" s="392" t="n">
        <v>5</v>
      </c>
      <c r="G8" s="392" t="n">
        <v>6</v>
      </c>
      <c r="H8" s="392" t="n">
        <v>5</v>
      </c>
      <c r="I8" s="393" t="n">
        <v>7</v>
      </c>
      <c r="K8" s="435" t="inlineStr">
        <is>
          <t>Sarı hücrelere Saaty ölçeğinde 1–9 veya ters değerleri giriniz. Yeşil hücreler otomatik ters değerlerdir.</t>
        </is>
      </c>
    </row>
    <row r="9" ht="32.1" customHeight="1" s="452">
      <c r="B9" s="377" t="inlineStr">
        <is>
          <t>E-21 Hayvansal gübre yönetimi</t>
        </is>
      </c>
      <c r="C9" s="263">
        <f>IFERROR(1/D8,"")</f>
        <v/>
      </c>
      <c r="D9" s="261" t="n">
        <v>1</v>
      </c>
      <c r="E9" s="262" t="n">
        <v>0.5</v>
      </c>
      <c r="F9" s="262" t="n">
        <v>3</v>
      </c>
      <c r="G9" s="262" t="n">
        <v>4</v>
      </c>
      <c r="H9" s="262" t="n">
        <v>3</v>
      </c>
      <c r="I9" s="378" t="n">
        <v>5</v>
      </c>
    </row>
    <row r="10" ht="32.1" customHeight="1" s="452">
      <c r="B10" s="377" t="inlineStr">
        <is>
          <t>E-22 Kimyasal İlaç Kullanımı</t>
        </is>
      </c>
      <c r="C10" s="263">
        <f>IFERROR(1/E8,"")</f>
        <v/>
      </c>
      <c r="D10" s="263">
        <f>IFERROR(1/E9,"")</f>
        <v/>
      </c>
      <c r="E10" s="261" t="n">
        <v>1</v>
      </c>
      <c r="F10" s="262" t="n">
        <v>2</v>
      </c>
      <c r="G10" s="262" t="n">
        <v>5</v>
      </c>
      <c r="H10" s="262" t="n">
        <v>4</v>
      </c>
      <c r="I10" s="378" t="n">
        <v>6</v>
      </c>
    </row>
    <row r="11" ht="32.1" customHeight="1" s="452">
      <c r="B11" s="377" t="inlineStr">
        <is>
          <t>E-23 Biyolojik mücadele</t>
        </is>
      </c>
      <c r="C11" s="263">
        <f>IFERROR(1/F8,"")</f>
        <v/>
      </c>
      <c r="D11" s="263">
        <f>IFERROR(1/F9,"")</f>
        <v/>
      </c>
      <c r="E11" s="263">
        <f>IFERROR(1/F10,"")</f>
        <v/>
      </c>
      <c r="F11" s="261" t="n">
        <v>1</v>
      </c>
      <c r="G11" s="262" t="n">
        <v>3</v>
      </c>
      <c r="H11" s="262" t="n">
        <v>2</v>
      </c>
      <c r="I11" s="378" t="n">
        <v>4</v>
      </c>
    </row>
    <row r="12" ht="32.1" customHeight="1" s="452">
      <c r="B12" s="377" t="inlineStr">
        <is>
          <t>E-24 Tehlikeli Atık Bertarafı</t>
        </is>
      </c>
      <c r="C12" s="263">
        <f>IFERROR(1/G8,"")</f>
        <v/>
      </c>
      <c r="D12" s="263">
        <f>IFERROR(1/G9,"")</f>
        <v/>
      </c>
      <c r="E12" s="263">
        <f>IFERROR(1/G10,"")</f>
        <v/>
      </c>
      <c r="F12" s="263">
        <f>IFERROR(1/G11,"")</f>
        <v/>
      </c>
      <c r="G12" s="261" t="n">
        <v>1</v>
      </c>
      <c r="H12" s="262" t="n">
        <v>0.5</v>
      </c>
      <c r="I12" s="378" t="n">
        <v>2</v>
      </c>
    </row>
    <row r="13" ht="32.1" customHeight="1" s="452">
      <c r="B13" s="377" t="inlineStr">
        <is>
          <t>E-25 Kimyasal Muhafaza Depoları</t>
        </is>
      </c>
      <c r="C13" s="263">
        <f>IFERROR(1/H8,"")</f>
        <v/>
      </c>
      <c r="D13" s="263">
        <f>IFERROR(1/H9,"")</f>
        <v/>
      </c>
      <c r="E13" s="263">
        <f>IFERROR(1/H10,"")</f>
        <v/>
      </c>
      <c r="F13" s="263">
        <f>IFERROR(1/H11,"")</f>
        <v/>
      </c>
      <c r="G13" s="263">
        <f>IFERROR(1/H12,"")</f>
        <v/>
      </c>
      <c r="H13" s="261" t="n">
        <v>1</v>
      </c>
      <c r="I13" s="378" t="n">
        <v>3</v>
      </c>
    </row>
    <row r="14" ht="32.1" customHeight="1" s="452" thickBot="1">
      <c r="B14" s="379" t="inlineStr">
        <is>
          <t>E-26 Ambalaj</t>
        </is>
      </c>
      <c r="C14" s="380">
        <f>IFERROR(1/I8,"")</f>
        <v/>
      </c>
      <c r="D14" s="380">
        <f>IFERROR(1/I9,"")</f>
        <v/>
      </c>
      <c r="E14" s="380">
        <f>IFERROR(1/I10,"")</f>
        <v/>
      </c>
      <c r="F14" s="380">
        <f>IFERROR(1/I11,"")</f>
        <v/>
      </c>
      <c r="G14" s="380">
        <f>IFERROR(1/I12,"")</f>
        <v/>
      </c>
      <c r="H14" s="380">
        <f>IFERROR(1/I13,"")</f>
        <v/>
      </c>
      <c r="I14" s="381" t="n">
        <v>1</v>
      </c>
    </row>
    <row r="16" ht="15.75" customHeight="1" s="452" thickBot="1"/>
    <row r="17" ht="15.75" customHeight="1" s="452" thickBot="1">
      <c r="B17" s="437" t="inlineStr">
        <is>
          <t>2. Normalize matris ve yerel ağırlıklar</t>
        </is>
      </c>
      <c r="C17" s="438" t="n"/>
      <c r="D17" s="438" t="n"/>
      <c r="E17" s="438" t="n"/>
      <c r="F17" s="438" t="n"/>
      <c r="G17" s="438" t="n"/>
      <c r="H17" s="438" t="n"/>
      <c r="I17" s="438" t="n"/>
      <c r="J17" s="402" t="n"/>
    </row>
    <row r="18" ht="60" customHeight="1" s="452">
      <c r="B18" s="394" t="n"/>
      <c r="C18" s="383" t="inlineStr">
        <is>
          <t>E-20 Gübre Kullanımı (Organik/İnorganik)</t>
        </is>
      </c>
      <c r="D18" s="383" t="inlineStr">
        <is>
          <t>E-21 Hayvansal gübre yönetimi</t>
        </is>
      </c>
      <c r="E18" s="383" t="inlineStr">
        <is>
          <t>E-22 Kimyasal İlaç Kullanımı</t>
        </is>
      </c>
      <c r="F18" s="383" t="inlineStr">
        <is>
          <t>E-23 Biyolojik mücadele</t>
        </is>
      </c>
      <c r="G18" s="383" t="inlineStr">
        <is>
          <t>E-24 Tehlikeli Atık Bertarafı</t>
        </is>
      </c>
      <c r="H18" s="383" t="inlineStr">
        <is>
          <t>E-25 Kimyasal Muhafaza Depoları</t>
        </is>
      </c>
      <c r="I18" s="383" t="inlineStr">
        <is>
          <t>E-26 Ambalaj</t>
        </is>
      </c>
      <c r="J18" s="384" t="inlineStr">
        <is>
          <t>Yerel ağırlık</t>
        </is>
      </c>
    </row>
    <row r="19">
      <c r="B19" s="377" t="inlineStr">
        <is>
          <t>E-20 Gübre Kullanımı (Organik/İnorganik)</t>
        </is>
      </c>
      <c r="C19" s="244">
        <f>IFERROR(C8/C$26,"")</f>
        <v/>
      </c>
      <c r="D19" s="244">
        <f>IFERROR(D8/D$26,"")</f>
        <v/>
      </c>
      <c r="E19" s="244">
        <f>IFERROR(E8/E$26,"")</f>
        <v/>
      </c>
      <c r="F19" s="244">
        <f>IFERROR(F8/F$26,"")</f>
        <v/>
      </c>
      <c r="G19" s="244">
        <f>IFERROR(G8/G$26,"")</f>
        <v/>
      </c>
      <c r="H19" s="244">
        <f>IFERROR(H8/H$26,"")</f>
        <v/>
      </c>
      <c r="I19" s="244">
        <f>IFERROR(I8/I$26,"")</f>
        <v/>
      </c>
      <c r="J19" s="349">
        <f>IFERROR(AVERAGE(C19:I19),"")</f>
        <v/>
      </c>
    </row>
    <row r="20">
      <c r="B20" s="377" t="inlineStr">
        <is>
          <t>E-21 Hayvansal gübre yönetimi</t>
        </is>
      </c>
      <c r="C20" s="244">
        <f>IFERROR(C9/C$26,"")</f>
        <v/>
      </c>
      <c r="D20" s="244">
        <f>IFERROR(D9/D$26,"")</f>
        <v/>
      </c>
      <c r="E20" s="244">
        <f>IFERROR(E9/E$26,"")</f>
        <v/>
      </c>
      <c r="F20" s="244">
        <f>IFERROR(F9/F$26,"")</f>
        <v/>
      </c>
      <c r="G20" s="244">
        <f>IFERROR(G9/G$26,"")</f>
        <v/>
      </c>
      <c r="H20" s="244">
        <f>IFERROR(H9/H$26,"")</f>
        <v/>
      </c>
      <c r="I20" s="244">
        <f>IFERROR(I9/I$26,"")</f>
        <v/>
      </c>
      <c r="J20" s="349">
        <f>IFERROR(AVERAGE(C20:I20),"")</f>
        <v/>
      </c>
    </row>
    <row r="21">
      <c r="B21" s="377" t="inlineStr">
        <is>
          <t>E-22 Kimyasal İlaç Kullanımı</t>
        </is>
      </c>
      <c r="C21" s="244">
        <f>IFERROR(C10/C$26,"")</f>
        <v/>
      </c>
      <c r="D21" s="244">
        <f>IFERROR(D10/D$26,"")</f>
        <v/>
      </c>
      <c r="E21" s="244">
        <f>IFERROR(E10/E$26,"")</f>
        <v/>
      </c>
      <c r="F21" s="244">
        <f>IFERROR(F10/F$26,"")</f>
        <v/>
      </c>
      <c r="G21" s="244">
        <f>IFERROR(G10/G$26,"")</f>
        <v/>
      </c>
      <c r="H21" s="244">
        <f>IFERROR(H10/H$26,"")</f>
        <v/>
      </c>
      <c r="I21" s="244">
        <f>IFERROR(I10/I$26,"")</f>
        <v/>
      </c>
      <c r="J21" s="349">
        <f>IFERROR(AVERAGE(C21:I21),"")</f>
        <v/>
      </c>
    </row>
    <row r="22">
      <c r="B22" s="377" t="inlineStr">
        <is>
          <t>E-23 Biyolojik mücadele</t>
        </is>
      </c>
      <c r="C22" s="244">
        <f>IFERROR(C11/C$26,"")</f>
        <v/>
      </c>
      <c r="D22" s="244">
        <f>IFERROR(D11/D$26,"")</f>
        <v/>
      </c>
      <c r="E22" s="244">
        <f>IFERROR(E11/E$26,"")</f>
        <v/>
      </c>
      <c r="F22" s="244">
        <f>IFERROR(F11/F$26,"")</f>
        <v/>
      </c>
      <c r="G22" s="244">
        <f>IFERROR(G11/G$26,"")</f>
        <v/>
      </c>
      <c r="H22" s="244">
        <f>IFERROR(H11/H$26,"")</f>
        <v/>
      </c>
      <c r="I22" s="244">
        <f>IFERROR(I11/I$26,"")</f>
        <v/>
      </c>
      <c r="J22" s="349">
        <f>IFERROR(AVERAGE(C22:I22),"")</f>
        <v/>
      </c>
    </row>
    <row r="23">
      <c r="B23" s="377" t="inlineStr">
        <is>
          <t>E-24 Tehlikeli Atık Bertarafı</t>
        </is>
      </c>
      <c r="C23" s="244">
        <f>IFERROR(C12/C$26,"")</f>
        <v/>
      </c>
      <c r="D23" s="244">
        <f>IFERROR(D12/D$26,"")</f>
        <v/>
      </c>
      <c r="E23" s="244">
        <f>IFERROR(E12/E$26,"")</f>
        <v/>
      </c>
      <c r="F23" s="244">
        <f>IFERROR(F12/F$26,"")</f>
        <v/>
      </c>
      <c r="G23" s="244">
        <f>IFERROR(G12/G$26,"")</f>
        <v/>
      </c>
      <c r="H23" s="244">
        <f>IFERROR(H12/H$26,"")</f>
        <v/>
      </c>
      <c r="I23" s="244">
        <f>IFERROR(I12/I$26,"")</f>
        <v/>
      </c>
      <c r="J23" s="349">
        <f>IFERROR(AVERAGE(C23:I23),"")</f>
        <v/>
      </c>
    </row>
    <row r="24">
      <c r="B24" s="377" t="inlineStr">
        <is>
          <t>E-25 Kimyasal Muhafaza Depoları</t>
        </is>
      </c>
      <c r="C24" s="244">
        <f>IFERROR(C13/C$26,"")</f>
        <v/>
      </c>
      <c r="D24" s="244">
        <f>IFERROR(D13/D$26,"")</f>
        <v/>
      </c>
      <c r="E24" s="244">
        <f>IFERROR(E13/E$26,"")</f>
        <v/>
      </c>
      <c r="F24" s="244">
        <f>IFERROR(F13/F$26,"")</f>
        <v/>
      </c>
      <c r="G24" s="244">
        <f>IFERROR(G13/G$26,"")</f>
        <v/>
      </c>
      <c r="H24" s="244">
        <f>IFERROR(H13/H$26,"")</f>
        <v/>
      </c>
      <c r="I24" s="244">
        <f>IFERROR(I13/I$26,"")</f>
        <v/>
      </c>
      <c r="J24" s="349">
        <f>IFERROR(AVERAGE(C24:I24),"")</f>
        <v/>
      </c>
    </row>
    <row r="25">
      <c r="B25" s="377" t="inlineStr">
        <is>
          <t>E-26 Ambalaj</t>
        </is>
      </c>
      <c r="C25" s="244">
        <f>IFERROR(C14/C$26,"")</f>
        <v/>
      </c>
      <c r="D25" s="244">
        <f>IFERROR(D14/D$26,"")</f>
        <v/>
      </c>
      <c r="E25" s="244">
        <f>IFERROR(E14/E$26,"")</f>
        <v/>
      </c>
      <c r="F25" s="244">
        <f>IFERROR(F14/F$26,"")</f>
        <v/>
      </c>
      <c r="G25" s="244">
        <f>IFERROR(G14/G$26,"")</f>
        <v/>
      </c>
      <c r="H25" s="244">
        <f>IFERROR(H14/H$26,"")</f>
        <v/>
      </c>
      <c r="I25" s="244">
        <f>IFERROR(I14/I$26,"")</f>
        <v/>
      </c>
      <c r="J25" s="349">
        <f>IFERROR(AVERAGE(C25:I25),"")</f>
        <v/>
      </c>
    </row>
    <row r="26">
      <c r="B26" s="395" t="inlineStr">
        <is>
          <t>Sütun toplamı</t>
        </is>
      </c>
      <c r="C26" s="247">
        <f>SUM(C8:C14)</f>
        <v/>
      </c>
      <c r="D26" s="247">
        <f>SUM(D8:D14)</f>
        <v/>
      </c>
      <c r="E26" s="247">
        <f>SUM(E8:E14)</f>
        <v/>
      </c>
      <c r="F26" s="247">
        <f>SUM(F8:F14)</f>
        <v/>
      </c>
      <c r="G26" s="247">
        <f>SUM(G8:G14)</f>
        <v/>
      </c>
      <c r="H26" s="247">
        <f>SUM(H8:H14)</f>
        <v/>
      </c>
      <c r="I26" s="247">
        <f>SUM(I8:I14)</f>
        <v/>
      </c>
      <c r="J26" s="355" t="n"/>
    </row>
    <row r="27" hidden="1" s="452">
      <c r="B27" s="354" t="n"/>
      <c r="J27" s="355" t="n"/>
    </row>
    <row r="28" ht="15.75" customHeight="1" s="452" thickBot="1">
      <c r="B28" s="460" t="inlineStr">
        <is>
          <t>Ağırlık toplamı</t>
        </is>
      </c>
      <c r="C28" s="461" t="n"/>
      <c r="D28" s="461" t="n"/>
      <c r="E28" s="461" t="n"/>
      <c r="F28" s="461" t="n"/>
      <c r="G28" s="461" t="n"/>
      <c r="H28" s="461" t="n"/>
      <c r="I28" s="461" t="n"/>
      <c r="J28" s="456">
        <f>SUM(J19:J25)</f>
        <v/>
      </c>
    </row>
    <row r="29" ht="15.75" customHeight="1" s="452" thickBot="1"/>
    <row r="30" ht="15.75" customHeight="1" s="452" thickBot="1">
      <c r="B30" s="455" t="inlineStr">
        <is>
          <t>3. Tutarlılık analizi</t>
        </is>
      </c>
      <c r="C30" s="438" t="n"/>
      <c r="D30" s="438" t="n"/>
      <c r="E30" s="438" t="n"/>
      <c r="F30" s="438" t="n"/>
      <c r="G30" s="438" t="n"/>
      <c r="H30" s="438" t="n"/>
      <c r="I30" s="438" t="n"/>
      <c r="J30" s="439" t="n"/>
    </row>
    <row r="31">
      <c r="B31" s="371" t="inlineStr">
        <is>
          <t>λmax</t>
        </is>
      </c>
      <c r="C31" s="438" t="n"/>
      <c r="D31" s="438" t="n"/>
      <c r="E31" s="438" t="n"/>
      <c r="F31" s="438" t="n"/>
      <c r="G31" s="438" t="n"/>
      <c r="H31" s="438" t="n"/>
      <c r="I31" s="438" t="n"/>
      <c r="J31" s="396">
        <f>C26*J19+D26*J20+E26*J21+F26*J22+G26*J23+H26*J24+I26*J25</f>
        <v/>
      </c>
    </row>
    <row r="32">
      <c r="B32" s="365" t="inlineStr">
        <is>
          <t>CI</t>
        </is>
      </c>
      <c r="J32" s="367">
        <f>IFERROR((J31-7)/(7-1),"")</f>
        <v/>
      </c>
    </row>
    <row r="33">
      <c r="B33" s="365" t="inlineStr">
        <is>
          <t>RI (n=7)</t>
        </is>
      </c>
      <c r="J33" s="367" t="n">
        <v>1.32</v>
      </c>
    </row>
    <row r="34">
      <c r="B34" s="365" t="inlineStr">
        <is>
          <t>CR</t>
        </is>
      </c>
      <c r="J34" s="367">
        <f>IFERROR(J32/J33,"")</f>
        <v/>
      </c>
    </row>
    <row r="35" ht="15.75" customHeight="1" s="452" thickBot="1">
      <c r="B35" s="368" t="inlineStr">
        <is>
          <t>Karar</t>
        </is>
      </c>
      <c r="C35" s="369" t="n"/>
      <c r="D35" s="369" t="n"/>
      <c r="E35" s="369" t="n"/>
      <c r="F35" s="369" t="n"/>
      <c r="G35" s="369" t="n"/>
      <c r="H35" s="369" t="n"/>
      <c r="I35" s="369" t="n"/>
      <c r="J35" s="370">
        <f>IF(COUNT(D8,E8,F8,G8,H8,I8,E9,F9,G9,H9,I9,F10,G10,H10,I10,G11,H11,I11,H12,I12,I13)&lt;21,"Veri bekleniyor",IF(J34&lt;=0.1,"Tutarlı (CR ≤ 0,10)","Gözden geçirilmeli (CR &gt; 0,10)"))</f>
        <v/>
      </c>
    </row>
  </sheetData>
  <mergeCells count="6">
    <mergeCell ref="K8:M14"/>
    <mergeCell ref="B6:I6"/>
    <mergeCell ref="C4:L4"/>
    <mergeCell ref="B2:L2"/>
    <mergeCell ref="B30:J30"/>
    <mergeCell ref="B17:I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I27"/>
  <sheetViews>
    <sheetView showGridLines="0" workbookViewId="0">
      <pane xSplit="2" ySplit="7" topLeftCell="C14" activePane="bottomRight" state="frozen"/>
      <selection pane="topRight" activeCell="A1" sqref="A1"/>
      <selection pane="bottomLeft" activeCell="A1" sqref="A1"/>
      <selection pane="bottomRight" activeCell="F17" sqref="F15:F17"/>
    </sheetView>
  </sheetViews>
  <sheetFormatPr baseColWidth="8" defaultRowHeight="15"/>
  <cols>
    <col width="48" customWidth="1" style="452" min="2" max="2"/>
    <col width="18" customWidth="1" style="452" min="3" max="9"/>
  </cols>
  <sheetData>
    <row r="2" ht="18.75" customHeight="1" s="452">
      <c r="B2" s="442" t="inlineStr">
        <is>
          <t>Sosyal Ana Bloğu Alt Grupları AHP</t>
        </is>
      </c>
    </row>
    <row r="4">
      <c r="B4" s="264" t="inlineStr">
        <is>
          <t>Karşılaştırma düzeyi</t>
        </is>
      </c>
      <c r="C4" t="inlineStr">
        <is>
          <t>Sosyal ana bloğu alt grup karşılaştırması</t>
        </is>
      </c>
    </row>
    <row r="5" ht="15.75" customHeight="1" s="452" thickBot="1"/>
    <row r="6" ht="15.75" customHeight="1" s="452" thickBot="1">
      <c r="B6" s="462" t="inlineStr">
        <is>
          <t>1. İkili karşılaştırma matrisi – sarı hücrelere giriş yapınız</t>
        </is>
      </c>
      <c r="C6" s="438" t="n"/>
      <c r="D6" s="438" t="n"/>
      <c r="E6" s="439" t="n"/>
    </row>
    <row r="7" ht="62.1" customHeight="1" s="452">
      <c r="B7" s="407" t="n"/>
      <c r="C7" s="408" t="inlineStr">
        <is>
          <t>İşgücü / İstihdam</t>
        </is>
      </c>
      <c r="D7" s="408" t="inlineStr">
        <is>
          <t>Çalışma Koşulları</t>
        </is>
      </c>
      <c r="E7" s="409" t="inlineStr">
        <is>
          <t>Toplum/Kişisel Koruma</t>
        </is>
      </c>
      <c r="G7" s="264" t="inlineStr">
        <is>
          <t>Giriş açıklaması</t>
        </is>
      </c>
    </row>
    <row r="8" ht="32.1" customHeight="1" s="452">
      <c r="B8" s="405" t="inlineStr">
        <is>
          <t>İşgücü / İstihdam</t>
        </is>
      </c>
      <c r="C8" s="261" t="n">
        <v>1</v>
      </c>
      <c r="D8" s="262" t="n">
        <v>2</v>
      </c>
      <c r="E8" s="378" t="n">
        <v>0.5</v>
      </c>
      <c r="G8" s="435" t="inlineStr">
        <is>
          <t>Sarı hücrelere Saaty ölçeğinde 1–9 veya ters değerleri giriniz. Yeşil hücreler otomatik ters değerlerdir.</t>
        </is>
      </c>
    </row>
    <row r="9" ht="32.1" customHeight="1" s="452">
      <c r="B9" s="405" t="inlineStr">
        <is>
          <t>Çalışma Koşulları</t>
        </is>
      </c>
      <c r="C9" s="263">
        <f>IFERROR(1/D8,"")</f>
        <v/>
      </c>
      <c r="D9" s="261" t="n">
        <v>1</v>
      </c>
      <c r="E9" s="378">
        <f>1/3</f>
        <v/>
      </c>
    </row>
    <row r="10" ht="32.1" customHeight="1" s="452" thickBot="1">
      <c r="B10" s="406" t="inlineStr">
        <is>
          <t>Toplum/Kişisel Koruma</t>
        </is>
      </c>
      <c r="C10" s="380">
        <f>IFERROR(1/E8,"")</f>
        <v/>
      </c>
      <c r="D10" s="380">
        <f>IFERROR(1/E9,"")</f>
        <v/>
      </c>
      <c r="E10" s="381" t="n">
        <v>1</v>
      </c>
    </row>
    <row r="12" ht="15.75" customHeight="1" s="452" thickBot="1"/>
    <row r="13" ht="15.75" customHeight="1" s="452" thickBot="1">
      <c r="B13" s="441" t="inlineStr">
        <is>
          <t>2. Normalize matris ve yerel ağırlıklar</t>
        </is>
      </c>
      <c r="C13" s="438" t="n"/>
      <c r="D13" s="438" t="n"/>
      <c r="E13" s="438" t="n"/>
      <c r="F13" s="413" t="n"/>
    </row>
    <row r="14" ht="30" customHeight="1" s="452">
      <c r="B14" s="382" t="n"/>
      <c r="C14" s="410" t="inlineStr">
        <is>
          <t>İşgücü / İstihdam</t>
        </is>
      </c>
      <c r="D14" s="410" t="inlineStr">
        <is>
          <t>Çalışma Koşulları</t>
        </is>
      </c>
      <c r="E14" s="410" t="inlineStr">
        <is>
          <t>Toplum/Kişisel Koruma</t>
        </is>
      </c>
      <c r="F14" s="411" t="inlineStr">
        <is>
          <t>Yerel ağırlık</t>
        </is>
      </c>
    </row>
    <row r="15">
      <c r="B15" s="405" t="inlineStr">
        <is>
          <t>İşgücü / İstihdam</t>
        </is>
      </c>
      <c r="C15" s="244">
        <f>IFERROR(C8/C$18,"")</f>
        <v/>
      </c>
      <c r="D15" s="244">
        <f>IFERROR(D8/D$18,"")</f>
        <v/>
      </c>
      <c r="E15" s="244">
        <f>IFERROR(E8/E$18,"")</f>
        <v/>
      </c>
      <c r="F15" s="349">
        <f>IFERROR(AVERAGE(C15:E15),"")</f>
        <v/>
      </c>
    </row>
    <row r="16">
      <c r="B16" s="405" t="inlineStr">
        <is>
          <t>Çalışma Koşulları</t>
        </is>
      </c>
      <c r="C16" s="244">
        <f>IFERROR(C9/C$18,"")</f>
        <v/>
      </c>
      <c r="D16" s="244">
        <f>IFERROR(D9/D$18,"")</f>
        <v/>
      </c>
      <c r="E16" s="244">
        <f>IFERROR(E9/E$18,"")</f>
        <v/>
      </c>
      <c r="F16" s="349">
        <f>IFERROR(AVERAGE(C16:E16),"")</f>
        <v/>
      </c>
    </row>
    <row r="17">
      <c r="B17" s="405" t="inlineStr">
        <is>
          <t>Toplum/Kişisel Koruma</t>
        </is>
      </c>
      <c r="C17" s="244">
        <f>IFERROR(C10/C$18,"")</f>
        <v/>
      </c>
      <c r="D17" s="244">
        <f>IFERROR(D10/D$18,"")</f>
        <v/>
      </c>
      <c r="E17" s="244">
        <f>IFERROR(E10/E$18,"")</f>
        <v/>
      </c>
      <c r="F17" s="349">
        <f>IFERROR(AVERAGE(C17:E17),"")</f>
        <v/>
      </c>
    </row>
    <row r="18">
      <c r="B18" s="412" t="inlineStr">
        <is>
          <t>Sütun toplamı</t>
        </is>
      </c>
      <c r="C18" s="247">
        <f>SUM(C8:C10)</f>
        <v/>
      </c>
      <c r="D18" s="247">
        <f>SUM(D8:D10)</f>
        <v/>
      </c>
      <c r="E18" s="247">
        <f>SUM(E8:E10)</f>
        <v/>
      </c>
      <c r="F18" s="355" t="n"/>
    </row>
    <row r="19" hidden="1" s="452">
      <c r="B19" s="354" t="n"/>
      <c r="F19" s="355" t="n"/>
    </row>
    <row r="20" ht="15.75" customHeight="1" s="452" thickBot="1">
      <c r="B20" s="460" t="inlineStr">
        <is>
          <t>Ağırlık toplamı</t>
        </is>
      </c>
      <c r="C20" s="461" t="n"/>
      <c r="D20" s="461" t="n"/>
      <c r="E20" s="461" t="n"/>
      <c r="F20" s="456">
        <f>SUM(F15:F17)</f>
        <v/>
      </c>
    </row>
    <row r="21" ht="15.75" customHeight="1" s="452" thickBot="1"/>
    <row r="22" ht="15.75" customHeight="1" s="452" thickBot="1">
      <c r="B22" s="462" t="inlineStr">
        <is>
          <t>3. Tutarlılık analizi</t>
        </is>
      </c>
      <c r="C22" s="438" t="n"/>
      <c r="D22" s="438" t="n"/>
      <c r="E22" s="438" t="n"/>
      <c r="F22" s="439" t="n"/>
    </row>
    <row r="23">
      <c r="B23" s="414" t="inlineStr">
        <is>
          <t>λmax</t>
        </is>
      </c>
      <c r="C23" s="438" t="n"/>
      <c r="D23" s="438" t="n"/>
      <c r="E23" s="438" t="n"/>
      <c r="F23" s="396">
        <f>C18*F15+D18*F16+E18*F17</f>
        <v/>
      </c>
    </row>
    <row r="24">
      <c r="B24" s="415" t="inlineStr">
        <is>
          <t>CI</t>
        </is>
      </c>
      <c r="F24" s="367">
        <f>IFERROR((F23-3)/(3-1),"")</f>
        <v/>
      </c>
    </row>
    <row r="25">
      <c r="B25" s="415" t="inlineStr">
        <is>
          <t>RI (n=3)</t>
        </is>
      </c>
      <c r="F25" s="367" t="n">
        <v>0.58</v>
      </c>
    </row>
    <row r="26">
      <c r="B26" s="415" t="inlineStr">
        <is>
          <t>CR</t>
        </is>
      </c>
      <c r="F26" s="367">
        <f>IFERROR(F24/F25,"")</f>
        <v/>
      </c>
    </row>
    <row r="27" ht="15.75" customHeight="1" s="452" thickBot="1">
      <c r="B27" s="416" t="inlineStr">
        <is>
          <t>Karar</t>
        </is>
      </c>
      <c r="C27" s="369" t="n"/>
      <c r="D27" s="369" t="n"/>
      <c r="E27" s="369" t="n"/>
      <c r="F27" s="370">
        <f>IF(COUNT(D8,E8,E9)&lt;3,"Veri bekleniyor",IF(F26&lt;=0.1,"Tutarlı (CR ≤ 0,10)","Gözden geçirilmeli (CR &gt; 0,10)"))</f>
        <v/>
      </c>
    </row>
  </sheetData>
  <mergeCells count="6">
    <mergeCell ref="G8:I10"/>
    <mergeCell ref="B13:E13"/>
    <mergeCell ref="B6:E6"/>
    <mergeCell ref="B2:H2"/>
    <mergeCell ref="C4:H4"/>
    <mergeCell ref="B22:F22"/>
  </mergeCells>
  <pageMargins left="0.75" right="0.75" top="1" bottom="1" header="0.5" footer="0.5"/>
</worksheet>
</file>

<file path=xl/worksheets/sheet11.xml><?xml version="1.0" encoding="utf-8"?>
<worksheet xmlns="http://schemas.openxmlformats.org/spreadsheetml/2006/main">
  <sheetPr codeName="Sayfa27">
    <outlinePr summaryBelow="1" summaryRight="1"/>
    <pageSetUpPr/>
  </sheetPr>
  <dimension ref="B2:O39"/>
  <sheetViews>
    <sheetView showGridLines="0" topLeftCell="D16" workbookViewId="0">
      <selection activeCell="L39" sqref="L35:L39"/>
    </sheetView>
  </sheetViews>
  <sheetFormatPr baseColWidth="8" defaultRowHeight="15"/>
  <cols>
    <col width="48" customWidth="1" style="452" min="2" max="2"/>
    <col width="18" customWidth="1" style="452" min="3" max="15"/>
  </cols>
  <sheetData>
    <row r="2" ht="18.75" customHeight="1" s="452">
      <c r="B2" s="436" t="inlineStr">
        <is>
          <t>Sosyal → İşgücü / İstihdam Göstergeleri AHP</t>
        </is>
      </c>
    </row>
    <row r="4">
      <c r="B4" s="238" t="inlineStr">
        <is>
          <t>Karşılaştırma düzeyi</t>
        </is>
      </c>
      <c r="C4" t="inlineStr">
        <is>
          <t>Sosyal → İşgücü / İstihdam</t>
        </is>
      </c>
    </row>
    <row r="5" ht="15.75" customHeight="1" s="452" thickBot="1"/>
    <row r="6" ht="15.75" customHeight="1" s="452" thickBot="1">
      <c r="B6" s="455" t="inlineStr">
        <is>
          <t>1. İkili karşılaştırma matrisi – sarı hücrelere giriş yapınız</t>
        </is>
      </c>
      <c r="C6" s="438" t="n"/>
      <c r="D6" s="438" t="n"/>
      <c r="E6" s="438" t="n"/>
      <c r="F6" s="438" t="n"/>
      <c r="G6" s="438" t="n"/>
      <c r="H6" s="438" t="n"/>
      <c r="I6" s="438" t="n"/>
      <c r="J6" s="438" t="n"/>
      <c r="K6" s="439" t="n"/>
    </row>
    <row r="7" ht="62.1" customHeight="1" s="452">
      <c r="B7" s="374" t="n"/>
      <c r="C7" s="375" t="inlineStr">
        <is>
          <t>S-27 Kadro Dağılımları</t>
        </is>
      </c>
      <c r="D7" s="375" t="inlineStr">
        <is>
          <t>S-28 Taşeron oranı</t>
        </is>
      </c>
      <c r="E7" s="375" t="inlineStr">
        <is>
          <t>S-29 Yaş Dağılımı</t>
        </is>
      </c>
      <c r="F7" s="375" t="inlineStr">
        <is>
          <t>S-30 Sendikalılık</t>
        </is>
      </c>
      <c r="G7" s="375" t="inlineStr">
        <is>
          <t>S-31 Çalışma Süreleri</t>
        </is>
      </c>
      <c r="H7" s="375" t="inlineStr">
        <is>
          <t>S-32 Eğitim</t>
        </is>
      </c>
      <c r="I7" s="375" t="inlineStr">
        <is>
          <t>S-33 Cinsiyet</t>
        </is>
      </c>
      <c r="J7" s="375" t="inlineStr">
        <is>
          <t>S-34 Devir Daim Hızı</t>
        </is>
      </c>
      <c r="K7" s="376" t="inlineStr">
        <is>
          <t>S-35 Eski Hükümlü/Engelli personel</t>
        </is>
      </c>
      <c r="M7" s="238" t="inlineStr">
        <is>
          <t>Giriş açıklaması</t>
        </is>
      </c>
    </row>
    <row r="8" ht="32.1" customHeight="1" s="452">
      <c r="B8" s="377" t="inlineStr">
        <is>
          <t>S-27 Kadro Dağılımları</t>
        </is>
      </c>
      <c r="C8" s="261" t="n">
        <v>1</v>
      </c>
      <c r="D8" s="262" t="n">
        <v>2</v>
      </c>
      <c r="E8" s="262" t="n">
        <v>3</v>
      </c>
      <c r="F8" s="262" t="n">
        <v>6</v>
      </c>
      <c r="G8" s="262" t="n">
        <v>4</v>
      </c>
      <c r="H8" s="262" t="n">
        <v>4</v>
      </c>
      <c r="I8" s="262" t="n">
        <v>5</v>
      </c>
      <c r="J8" s="262" t="n">
        <v>6</v>
      </c>
      <c r="K8" s="378" t="n">
        <v>8</v>
      </c>
      <c r="M8" s="435" t="inlineStr">
        <is>
          <t>Sarı hücrelere Saaty ölçeğinde 1–9 veya ters değerleri giriniz. Yeşil hücreler otomatik ters değerlerdir.</t>
        </is>
      </c>
    </row>
    <row r="9" ht="32.1" customHeight="1" s="452">
      <c r="B9" s="377" t="inlineStr">
        <is>
          <t>S-28 Taşeron oranı</t>
        </is>
      </c>
      <c r="C9" s="263">
        <f>IFERROR(1/D8,"")</f>
        <v/>
      </c>
      <c r="D9" s="261" t="n">
        <v>1</v>
      </c>
      <c r="E9" s="262" t="n">
        <v>2</v>
      </c>
      <c r="F9" s="262" t="n">
        <v>5</v>
      </c>
      <c r="G9" s="262" t="n">
        <v>3</v>
      </c>
      <c r="H9" s="262" t="n">
        <v>3</v>
      </c>
      <c r="I9" s="262" t="n">
        <v>4</v>
      </c>
      <c r="J9" s="262" t="n">
        <v>5</v>
      </c>
      <c r="K9" s="378" t="n">
        <v>7</v>
      </c>
    </row>
    <row r="10" ht="32.1" customHeight="1" s="452">
      <c r="B10" s="377" t="inlineStr">
        <is>
          <t>S-29 Yaş Dağılımı</t>
        </is>
      </c>
      <c r="C10" s="263">
        <f>IFERROR(1/E8,"")</f>
        <v/>
      </c>
      <c r="D10" s="263">
        <f>IFERROR(1/E9,"")</f>
        <v/>
      </c>
      <c r="E10" s="261" t="n">
        <v>1</v>
      </c>
      <c r="F10" s="262" t="n">
        <v>4</v>
      </c>
      <c r="G10" s="262" t="n">
        <v>2</v>
      </c>
      <c r="H10" s="262" t="n">
        <v>0.5</v>
      </c>
      <c r="I10" s="262" t="n">
        <v>2</v>
      </c>
      <c r="J10" s="262" t="n">
        <v>4</v>
      </c>
      <c r="K10" s="378" t="n">
        <v>6</v>
      </c>
    </row>
    <row r="11" ht="32.1" customHeight="1" s="452">
      <c r="B11" s="377" t="inlineStr">
        <is>
          <t>S-30 Sendikalılık</t>
        </is>
      </c>
      <c r="C11" s="263">
        <f>IFERROR(1/F8,"")</f>
        <v/>
      </c>
      <c r="D11" s="263">
        <f>IFERROR(1/F9,"")</f>
        <v/>
      </c>
      <c r="E11" s="263">
        <f>IFERROR(1/F10,"")</f>
        <v/>
      </c>
      <c r="F11" s="261" t="n">
        <v>1</v>
      </c>
      <c r="G11" s="262">
        <f>1/3</f>
        <v/>
      </c>
      <c r="H11" s="262" t="n">
        <v>0.25</v>
      </c>
      <c r="I11" s="262" t="n">
        <v>0.2</v>
      </c>
      <c r="J11" s="262" t="n">
        <v>0.2</v>
      </c>
      <c r="K11" s="378" t="n">
        <v>2</v>
      </c>
    </row>
    <row r="12" ht="32.1" customHeight="1" s="452">
      <c r="B12" s="377" t="inlineStr">
        <is>
          <t>S-31 Çalışma Süreleri</t>
        </is>
      </c>
      <c r="C12" s="263">
        <f>IFERROR(1/G8,"")</f>
        <v/>
      </c>
      <c r="D12" s="263">
        <f>IFERROR(1/G9,"")</f>
        <v/>
      </c>
      <c r="E12" s="263">
        <f>IFERROR(1/G10,"")</f>
        <v/>
      </c>
      <c r="F12" s="263">
        <f>IFERROR(1/G11,"")</f>
        <v/>
      </c>
      <c r="G12" s="261" t="n">
        <v>1</v>
      </c>
      <c r="H12" s="262">
        <f>1/3</f>
        <v/>
      </c>
      <c r="I12" s="262" t="n">
        <v>0.5</v>
      </c>
      <c r="J12" s="262" t="n">
        <v>0.5</v>
      </c>
      <c r="K12" s="378" t="n">
        <v>5</v>
      </c>
    </row>
    <row r="13" ht="32.1" customHeight="1" s="452">
      <c r="B13" s="377" t="inlineStr">
        <is>
          <t>S-32 Eğitim</t>
        </is>
      </c>
      <c r="C13" s="263">
        <f>IFERROR(1/H8,"")</f>
        <v/>
      </c>
      <c r="D13" s="263">
        <f>IFERROR(1/H9,"")</f>
        <v/>
      </c>
      <c r="E13" s="263">
        <f>IFERROR(1/H10,"")</f>
        <v/>
      </c>
      <c r="F13" s="263">
        <f>IFERROR(1/H11,"")</f>
        <v/>
      </c>
      <c r="G13" s="263">
        <f>IFERROR(1/H12,"")</f>
        <v/>
      </c>
      <c r="H13" s="261" t="n">
        <v>1</v>
      </c>
      <c r="I13" s="262" t="n">
        <v>3</v>
      </c>
      <c r="J13" s="262" t="n">
        <v>4</v>
      </c>
      <c r="K13" s="378" t="n">
        <v>6</v>
      </c>
    </row>
    <row r="14" ht="32.1" customHeight="1" s="452">
      <c r="B14" s="377" t="inlineStr">
        <is>
          <t>S-33 Cinsiyet</t>
        </is>
      </c>
      <c r="C14" s="263">
        <f>IFERROR(1/I8,"")</f>
        <v/>
      </c>
      <c r="D14" s="263">
        <f>IFERROR(1/I9,"")</f>
        <v/>
      </c>
      <c r="E14" s="263">
        <f>IFERROR(1/I10,"")</f>
        <v/>
      </c>
      <c r="F14" s="263">
        <f>IFERROR(1/I11,"")</f>
        <v/>
      </c>
      <c r="G14" s="263">
        <f>IFERROR(1/I12,"")</f>
        <v/>
      </c>
      <c r="H14" s="263">
        <f>IFERROR(1/I13,"")</f>
        <v/>
      </c>
      <c r="I14" s="261" t="n">
        <v>1</v>
      </c>
      <c r="J14" s="262" t="n">
        <v>2</v>
      </c>
      <c r="K14" s="378" t="n">
        <v>5</v>
      </c>
    </row>
    <row r="15" ht="32.1" customHeight="1" s="452">
      <c r="B15" s="377" t="inlineStr">
        <is>
          <t>S-34 Devir Daim Hızı</t>
        </is>
      </c>
      <c r="C15" s="263">
        <f>IFERROR(1/J8,"")</f>
        <v/>
      </c>
      <c r="D15" s="263">
        <f>IFERROR(1/J9,"")</f>
        <v/>
      </c>
      <c r="E15" s="263">
        <f>IFERROR(1/J10,"")</f>
        <v/>
      </c>
      <c r="F15" s="263">
        <f>IFERROR(1/J11,"")</f>
        <v/>
      </c>
      <c r="G15" s="263">
        <f>IFERROR(1/J12,"")</f>
        <v/>
      </c>
      <c r="H15" s="263">
        <f>IFERROR(1/J13,"")</f>
        <v/>
      </c>
      <c r="I15" s="263">
        <f>IFERROR(1/J14,"")</f>
        <v/>
      </c>
      <c r="J15" s="261" t="n">
        <v>1</v>
      </c>
      <c r="K15" s="378" t="n">
        <v>3</v>
      </c>
    </row>
    <row r="16" ht="32.1" customHeight="1" s="452" thickBot="1">
      <c r="B16" s="379" t="inlineStr">
        <is>
          <t>S-35 Eski Hükümlü/Engelli personel</t>
        </is>
      </c>
      <c r="C16" s="380">
        <f>IFERROR(1/K8,"")</f>
        <v/>
      </c>
      <c r="D16" s="380">
        <f>IFERROR(1/K9,"")</f>
        <v/>
      </c>
      <c r="E16" s="380">
        <f>IFERROR(1/K10,"")</f>
        <v/>
      </c>
      <c r="F16" s="380">
        <f>IFERROR(1/K11,"")</f>
        <v/>
      </c>
      <c r="G16" s="380">
        <f>IFERROR(1/K12,"")</f>
        <v/>
      </c>
      <c r="H16" s="380">
        <f>IFERROR(1/K13,"")</f>
        <v/>
      </c>
      <c r="I16" s="380">
        <f>IFERROR(1/K14,"")</f>
        <v/>
      </c>
      <c r="J16" s="380">
        <f>IFERROR(1/K15,"")</f>
        <v/>
      </c>
      <c r="K16" s="381" t="n">
        <v>1</v>
      </c>
    </row>
    <row r="18" ht="15.75" customHeight="1" s="452" thickBot="1"/>
    <row r="19" ht="15.75" customHeight="1" s="452" thickBot="1">
      <c r="B19" s="437" t="inlineStr">
        <is>
          <t>2. Normalize matris ve yerel ağırlıklar</t>
        </is>
      </c>
      <c r="C19" s="438" t="n"/>
      <c r="D19" s="438" t="n"/>
      <c r="E19" s="438" t="n"/>
      <c r="F19" s="438" t="n"/>
      <c r="G19" s="438" t="n"/>
      <c r="H19" s="438" t="n"/>
      <c r="I19" s="438" t="n"/>
      <c r="J19" s="438" t="n"/>
      <c r="K19" s="438" t="n"/>
      <c r="L19" s="439" t="n"/>
    </row>
    <row r="20" ht="45" customHeight="1" s="452">
      <c r="B20" s="394" t="n"/>
      <c r="C20" s="383" t="inlineStr">
        <is>
          <t>S-27 Kadro Dağılımları</t>
        </is>
      </c>
      <c r="D20" s="383" t="inlineStr">
        <is>
          <t>S-28 Taşeron oranı</t>
        </is>
      </c>
      <c r="E20" s="383" t="inlineStr">
        <is>
          <t>S-29 Yaş Dağılımı</t>
        </is>
      </c>
      <c r="F20" s="383" t="inlineStr">
        <is>
          <t>S-30 Sendikalılık</t>
        </is>
      </c>
      <c r="G20" s="383" t="inlineStr">
        <is>
          <t>S-31 Çalışma Süreleri</t>
        </is>
      </c>
      <c r="H20" s="383" t="inlineStr">
        <is>
          <t>S-32 Eğitim</t>
        </is>
      </c>
      <c r="I20" s="383" t="inlineStr">
        <is>
          <t>S-33 Cinsiyet</t>
        </is>
      </c>
      <c r="J20" s="383" t="inlineStr">
        <is>
          <t>S-34 Devir Daim Hızı</t>
        </is>
      </c>
      <c r="K20" s="383" t="inlineStr">
        <is>
          <t>S-35 Eski Hükümlü/Engelli personel</t>
        </is>
      </c>
      <c r="L20" s="384" t="inlineStr">
        <is>
          <t>Yerel ağırlık</t>
        </is>
      </c>
    </row>
    <row r="21">
      <c r="B21" s="377" t="inlineStr">
        <is>
          <t>S-27 Kadro Dağılımları</t>
        </is>
      </c>
      <c r="C21" s="244">
        <f>IFERROR(C8/C$30,"")</f>
        <v/>
      </c>
      <c r="D21" s="244">
        <f>IFERROR(D8/D$30,"")</f>
        <v/>
      </c>
      <c r="E21" s="244">
        <f>IFERROR(E8/E$30,"")</f>
        <v/>
      </c>
      <c r="F21" s="244">
        <f>IFERROR(F8/F$30,"")</f>
        <v/>
      </c>
      <c r="G21" s="244">
        <f>IFERROR(G8/G$30,"")</f>
        <v/>
      </c>
      <c r="H21" s="244">
        <f>IFERROR(H8/H$30,"")</f>
        <v/>
      </c>
      <c r="I21" s="244">
        <f>IFERROR(I8/I$30,"")</f>
        <v/>
      </c>
      <c r="J21" s="244">
        <f>IFERROR(J8/J$30,"")</f>
        <v/>
      </c>
      <c r="K21" s="244">
        <f>IFERROR(K8/K$30,"")</f>
        <v/>
      </c>
      <c r="L21" s="349">
        <f>IFERROR(AVERAGE(C21:K21),"")</f>
        <v/>
      </c>
    </row>
    <row r="22">
      <c r="B22" s="377" t="inlineStr">
        <is>
          <t>S-28 Taşeron oranı</t>
        </is>
      </c>
      <c r="C22" s="244">
        <f>IFERROR(C9/C$30,"")</f>
        <v/>
      </c>
      <c r="D22" s="244">
        <f>IFERROR(D9/D$30,"")</f>
        <v/>
      </c>
      <c r="E22" s="244">
        <f>IFERROR(E9/E$30,"")</f>
        <v/>
      </c>
      <c r="F22" s="244">
        <f>IFERROR(F9/F$30,"")</f>
        <v/>
      </c>
      <c r="G22" s="244">
        <f>IFERROR(G9/G$30,"")</f>
        <v/>
      </c>
      <c r="H22" s="244">
        <f>IFERROR(H9/H$30,"")</f>
        <v/>
      </c>
      <c r="I22" s="244">
        <f>IFERROR(I9/I$30,"")</f>
        <v/>
      </c>
      <c r="J22" s="244">
        <f>IFERROR(J9/J$30,"")</f>
        <v/>
      </c>
      <c r="K22" s="244">
        <f>IFERROR(K9/K$30,"")</f>
        <v/>
      </c>
      <c r="L22" s="349">
        <f>IFERROR(AVERAGE(C22:K22),"")</f>
        <v/>
      </c>
    </row>
    <row r="23">
      <c r="B23" s="377" t="inlineStr">
        <is>
          <t>S-29 Yaş Dağılımı</t>
        </is>
      </c>
      <c r="C23" s="244">
        <f>IFERROR(C10/C$30,"")</f>
        <v/>
      </c>
      <c r="D23" s="244">
        <f>IFERROR(D10/D$30,"")</f>
        <v/>
      </c>
      <c r="E23" s="244">
        <f>IFERROR(E10/E$30,"")</f>
        <v/>
      </c>
      <c r="F23" s="244">
        <f>IFERROR(F10/F$30,"")</f>
        <v/>
      </c>
      <c r="G23" s="244">
        <f>IFERROR(G10/G$30,"")</f>
        <v/>
      </c>
      <c r="H23" s="244">
        <f>IFERROR(H10/H$30,"")</f>
        <v/>
      </c>
      <c r="I23" s="244">
        <f>IFERROR(I10/I$30,"")</f>
        <v/>
      </c>
      <c r="J23" s="244">
        <f>IFERROR(J10/J$30,"")</f>
        <v/>
      </c>
      <c r="K23" s="244">
        <f>IFERROR(K10/K$30,"")</f>
        <v/>
      </c>
      <c r="L23" s="349">
        <f>IFERROR(AVERAGE(C23:K23),"")</f>
        <v/>
      </c>
    </row>
    <row r="24">
      <c r="B24" s="377" t="inlineStr">
        <is>
          <t>S-30 Sendikalılık</t>
        </is>
      </c>
      <c r="C24" s="244">
        <f>IFERROR(C11/C$30,"")</f>
        <v/>
      </c>
      <c r="D24" s="244">
        <f>IFERROR(D11/D$30,"")</f>
        <v/>
      </c>
      <c r="E24" s="244">
        <f>IFERROR(E11/E$30,"")</f>
        <v/>
      </c>
      <c r="F24" s="244">
        <f>IFERROR(F11/F$30,"")</f>
        <v/>
      </c>
      <c r="G24" s="244">
        <f>IFERROR(G11/G$30,"")</f>
        <v/>
      </c>
      <c r="H24" s="244">
        <f>IFERROR(H11/H$30,"")</f>
        <v/>
      </c>
      <c r="I24" s="244">
        <f>IFERROR(I11/I$30,"")</f>
        <v/>
      </c>
      <c r="J24" s="244">
        <f>IFERROR(J11/J$30,"")</f>
        <v/>
      </c>
      <c r="K24" s="244">
        <f>IFERROR(K11/K$30,"")</f>
        <v/>
      </c>
      <c r="L24" s="349">
        <f>IFERROR(AVERAGE(C24:K24),"")</f>
        <v/>
      </c>
    </row>
    <row r="25">
      <c r="B25" s="377" t="inlineStr">
        <is>
          <t>S-31 Çalışma Süreleri</t>
        </is>
      </c>
      <c r="C25" s="244">
        <f>IFERROR(C12/C$30,"")</f>
        <v/>
      </c>
      <c r="D25" s="244">
        <f>IFERROR(D12/D$30,"")</f>
        <v/>
      </c>
      <c r="E25" s="244">
        <f>IFERROR(E12/E$30,"")</f>
        <v/>
      </c>
      <c r="F25" s="244">
        <f>IFERROR(F12/F$30,"")</f>
        <v/>
      </c>
      <c r="G25" s="244">
        <f>IFERROR(G12/G$30,"")</f>
        <v/>
      </c>
      <c r="H25" s="244">
        <f>IFERROR(H12/H$30,"")</f>
        <v/>
      </c>
      <c r="I25" s="244">
        <f>IFERROR(I12/I$30,"")</f>
        <v/>
      </c>
      <c r="J25" s="244">
        <f>IFERROR(J12/J$30,"")</f>
        <v/>
      </c>
      <c r="K25" s="244">
        <f>IFERROR(K12/K$30,"")</f>
        <v/>
      </c>
      <c r="L25" s="349">
        <f>IFERROR(AVERAGE(C25:K25),"")</f>
        <v/>
      </c>
    </row>
    <row r="26">
      <c r="B26" s="377" t="inlineStr">
        <is>
          <t>S-32 Eğitim</t>
        </is>
      </c>
      <c r="C26" s="244">
        <f>IFERROR(C13/C$30,"")</f>
        <v/>
      </c>
      <c r="D26" s="244">
        <f>IFERROR(D13/D$30,"")</f>
        <v/>
      </c>
      <c r="E26" s="244">
        <f>IFERROR(E13/E$30,"")</f>
        <v/>
      </c>
      <c r="F26" s="244">
        <f>IFERROR(F13/F$30,"")</f>
        <v/>
      </c>
      <c r="G26" s="244">
        <f>IFERROR(G13/G$30,"")</f>
        <v/>
      </c>
      <c r="H26" s="244">
        <f>IFERROR(H13/H$30,"")</f>
        <v/>
      </c>
      <c r="I26" s="244">
        <f>IFERROR(I13/I$30,"")</f>
        <v/>
      </c>
      <c r="J26" s="244">
        <f>IFERROR(J13/J$30,"")</f>
        <v/>
      </c>
      <c r="K26" s="244">
        <f>IFERROR(K13/K$30,"")</f>
        <v/>
      </c>
      <c r="L26" s="349">
        <f>IFERROR(AVERAGE(C26:K26),"")</f>
        <v/>
      </c>
    </row>
    <row r="27">
      <c r="B27" s="377" t="inlineStr">
        <is>
          <t>S-33 Cinsiyet</t>
        </is>
      </c>
      <c r="C27" s="244">
        <f>IFERROR(C14/C$30,"")</f>
        <v/>
      </c>
      <c r="D27" s="244">
        <f>IFERROR(D14/D$30,"")</f>
        <v/>
      </c>
      <c r="E27" s="244">
        <f>IFERROR(E14/E$30,"")</f>
        <v/>
      </c>
      <c r="F27" s="244">
        <f>IFERROR(F14/F$30,"")</f>
        <v/>
      </c>
      <c r="G27" s="244">
        <f>IFERROR(G14/G$30,"")</f>
        <v/>
      </c>
      <c r="H27" s="244">
        <f>IFERROR(H14/H$30,"")</f>
        <v/>
      </c>
      <c r="I27" s="244">
        <f>IFERROR(I14/I$30,"")</f>
        <v/>
      </c>
      <c r="J27" s="244">
        <f>IFERROR(J14/J$30,"")</f>
        <v/>
      </c>
      <c r="K27" s="244">
        <f>IFERROR(K14/K$30,"")</f>
        <v/>
      </c>
      <c r="L27" s="349">
        <f>IFERROR(AVERAGE(C27:K27),"")</f>
        <v/>
      </c>
    </row>
    <row r="28">
      <c r="B28" s="377" t="inlineStr">
        <is>
          <t>S-34 Devir Daim Hızı</t>
        </is>
      </c>
      <c r="C28" s="244">
        <f>IFERROR(C15/C$30,"")</f>
        <v/>
      </c>
      <c r="D28" s="244">
        <f>IFERROR(D15/D$30,"")</f>
        <v/>
      </c>
      <c r="E28" s="244">
        <f>IFERROR(E15/E$30,"")</f>
        <v/>
      </c>
      <c r="F28" s="244">
        <f>IFERROR(F15/F$30,"")</f>
        <v/>
      </c>
      <c r="G28" s="244">
        <f>IFERROR(G15/G$30,"")</f>
        <v/>
      </c>
      <c r="H28" s="244">
        <f>IFERROR(H15/H$30,"")</f>
        <v/>
      </c>
      <c r="I28" s="244">
        <f>IFERROR(I15/I$30,"")</f>
        <v/>
      </c>
      <c r="J28" s="244">
        <f>IFERROR(J15/J$30,"")</f>
        <v/>
      </c>
      <c r="K28" s="244">
        <f>IFERROR(K15/K$30,"")</f>
        <v/>
      </c>
      <c r="L28" s="349">
        <f>IFERROR(AVERAGE(C28:K28),"")</f>
        <v/>
      </c>
    </row>
    <row r="29">
      <c r="B29" s="377" t="inlineStr">
        <is>
          <t>S-35 Eski Hükümlü/Engelli personel</t>
        </is>
      </c>
      <c r="C29" s="244">
        <f>IFERROR(C16/C$30,"")</f>
        <v/>
      </c>
      <c r="D29" s="244">
        <f>IFERROR(D16/D$30,"")</f>
        <v/>
      </c>
      <c r="E29" s="244">
        <f>IFERROR(E16/E$30,"")</f>
        <v/>
      </c>
      <c r="F29" s="244">
        <f>IFERROR(F16/F$30,"")</f>
        <v/>
      </c>
      <c r="G29" s="244">
        <f>IFERROR(G16/G$30,"")</f>
        <v/>
      </c>
      <c r="H29" s="244">
        <f>IFERROR(H16/H$30,"")</f>
        <v/>
      </c>
      <c r="I29" s="244">
        <f>IFERROR(I16/I$30,"")</f>
        <v/>
      </c>
      <c r="J29" s="244">
        <f>IFERROR(J16/J$30,"")</f>
        <v/>
      </c>
      <c r="K29" s="244">
        <f>IFERROR(K16/K$30,"")</f>
        <v/>
      </c>
      <c r="L29" s="349">
        <f>IFERROR(AVERAGE(C29:K29),"")</f>
        <v/>
      </c>
    </row>
    <row r="30">
      <c r="B30" s="395" t="inlineStr">
        <is>
          <t>Sütun toplamı</t>
        </is>
      </c>
      <c r="C30" s="247">
        <f>SUM(C8:C16)</f>
        <v/>
      </c>
      <c r="D30" s="247">
        <f>SUM(D8:D16)</f>
        <v/>
      </c>
      <c r="E30" s="247">
        <f>SUM(E8:E16)</f>
        <v/>
      </c>
      <c r="F30" s="247">
        <f>SUM(F8:F16)</f>
        <v/>
      </c>
      <c r="G30" s="247">
        <f>SUM(G8:G16)</f>
        <v/>
      </c>
      <c r="H30" s="247">
        <f>SUM(H8:H16)</f>
        <v/>
      </c>
      <c r="I30" s="247">
        <f>SUM(I8:I16)</f>
        <v/>
      </c>
      <c r="J30" s="247">
        <f>SUM(J8:J16)</f>
        <v/>
      </c>
      <c r="K30" s="247">
        <f>SUM(K8:K16)</f>
        <v/>
      </c>
      <c r="L30" s="355" t="n"/>
    </row>
    <row r="31" hidden="1" s="452">
      <c r="B31" s="354" t="n"/>
      <c r="L31" s="355" t="n"/>
    </row>
    <row r="32" ht="15.75" customHeight="1" s="452" thickBot="1">
      <c r="B32" s="460" t="inlineStr">
        <is>
          <t>Ağırlık toplamı</t>
        </is>
      </c>
      <c r="C32" s="461" t="n"/>
      <c r="D32" s="461" t="n"/>
      <c r="E32" s="461" t="n"/>
      <c r="F32" s="461" t="n"/>
      <c r="G32" s="461" t="n"/>
      <c r="H32" s="461" t="n"/>
      <c r="I32" s="461" t="n"/>
      <c r="J32" s="461" t="n"/>
      <c r="K32" s="461" t="n"/>
      <c r="L32" s="456">
        <f>SUM(L21:L29)</f>
        <v/>
      </c>
    </row>
    <row r="33" ht="15.75" customHeight="1" s="452" thickBot="1"/>
    <row r="34" ht="15.75" customHeight="1" s="452" thickBot="1">
      <c r="B34" s="455" t="inlineStr">
        <is>
          <t>3. Tutarlılık analizi</t>
        </is>
      </c>
      <c r="C34" s="438" t="n"/>
      <c r="D34" s="438" t="n"/>
      <c r="E34" s="438" t="n"/>
      <c r="F34" s="438" t="n"/>
      <c r="G34" s="438" t="n"/>
      <c r="H34" s="438" t="n"/>
      <c r="I34" s="438" t="n"/>
      <c r="J34" s="438" t="n"/>
      <c r="K34" s="438" t="n"/>
      <c r="L34" s="439" t="n"/>
    </row>
    <row r="35">
      <c r="B35" s="371" t="inlineStr">
        <is>
          <t>λmax</t>
        </is>
      </c>
      <c r="C35" s="438" t="n"/>
      <c r="D35" s="438" t="n"/>
      <c r="E35" s="438" t="n"/>
      <c r="F35" s="438" t="n"/>
      <c r="G35" s="438" t="n"/>
      <c r="H35" s="438" t="n"/>
      <c r="I35" s="438" t="n"/>
      <c r="J35" s="438" t="n"/>
      <c r="K35" s="438" t="n"/>
      <c r="L35" s="396">
        <f>C30*L21+D30*L22+E30*L23+F30*L24+G30*L25+H30*L26+I30*L27+J30*L28+K30*L29</f>
        <v/>
      </c>
    </row>
    <row r="36">
      <c r="B36" s="365" t="inlineStr">
        <is>
          <t>CI</t>
        </is>
      </c>
      <c r="L36" s="367">
        <f>IFERROR((L35-9)/(9-1),"")</f>
        <v/>
      </c>
    </row>
    <row r="37">
      <c r="B37" s="365" t="inlineStr">
        <is>
          <t>RI (n=9)</t>
        </is>
      </c>
      <c r="L37" s="367" t="n">
        <v>1.45</v>
      </c>
    </row>
    <row r="38">
      <c r="B38" s="365" t="inlineStr">
        <is>
          <t>CR</t>
        </is>
      </c>
      <c r="L38" s="367">
        <f>IFERROR(L36/L37,"")</f>
        <v/>
      </c>
    </row>
    <row r="39" ht="15.75" customHeight="1" s="452" thickBot="1">
      <c r="B39" s="368" t="inlineStr">
        <is>
          <t>Karar</t>
        </is>
      </c>
      <c r="C39" s="369" t="n"/>
      <c r="D39" s="369" t="n"/>
      <c r="E39" s="369" t="n"/>
      <c r="F39" s="369" t="n"/>
      <c r="G39" s="369" t="n"/>
      <c r="H39" s="369" t="n"/>
      <c r="I39" s="369" t="n"/>
      <c r="J39" s="369" t="n"/>
      <c r="K39" s="369" t="n"/>
      <c r="L39" s="370">
        <f>IF(COUNT(D8,E8,F8,G8,H8,I8,J8,K8,E9,F9,G9,H9,I9,J9,K9,F10,G10,H10,I10,J10,K10,G11,H11,I11,J11,K11,H12,I12,J12,K12,I13,J13,K13,J14,K14,K15)&lt;36,"Veri bekleniyor",IF(L38&lt;=0.1,"Tutarlı (CR ≤ 0,10)","Gözden geçirilmeli (CR &gt; 0,10)"))</f>
        <v/>
      </c>
    </row>
  </sheetData>
  <mergeCells count="6">
    <mergeCell ref="B34:L34"/>
    <mergeCell ref="B6:K6"/>
    <mergeCell ref="B2:N2"/>
    <mergeCell ref="M8:O16"/>
    <mergeCell ref="C4:N4"/>
    <mergeCell ref="B19:K19"/>
  </mergeCells>
  <pageMargins left="0.75" right="0.75" top="1" bottom="1" header="0.5" footer="0.5"/>
</worksheet>
</file>

<file path=xl/worksheets/sheet12.xml><?xml version="1.0" encoding="utf-8"?>
<worksheet xmlns="http://schemas.openxmlformats.org/spreadsheetml/2006/main">
  <sheetPr codeName="Sayfa28">
    <outlinePr summaryBelow="1" summaryRight="1"/>
    <pageSetUpPr/>
  </sheetPr>
  <dimension ref="B2:S37"/>
  <sheetViews>
    <sheetView showGridLines="0" workbookViewId="0">
      <pane xSplit="2" ySplit="7" topLeftCell="C22" activePane="bottomRight" state="frozen"/>
      <selection pane="topRight" activeCell="A1" sqref="A1"/>
      <selection pane="bottomLeft" activeCell="A1" sqref="A1"/>
      <selection pane="bottomRight" activeCell="B1" sqref="B1:K1048576"/>
    </sheetView>
  </sheetViews>
  <sheetFormatPr baseColWidth="8" defaultRowHeight="15"/>
  <cols>
    <col width="48" customWidth="1" style="452" min="2" max="2"/>
    <col width="18" customWidth="1" style="452" min="3" max="14"/>
  </cols>
  <sheetData>
    <row r="2" ht="18.75" customHeight="1" s="452">
      <c r="B2" s="436" t="inlineStr">
        <is>
          <t>Sosyal → Çalışma Koşulları Göstergeleri AHP</t>
        </is>
      </c>
    </row>
    <row r="4">
      <c r="B4" s="238" t="inlineStr">
        <is>
          <t>Karşılaştırma düzeyi</t>
        </is>
      </c>
      <c r="C4" t="inlineStr">
        <is>
          <t>Sosyal → Çalışma Koşulları</t>
        </is>
      </c>
    </row>
    <row r="5" ht="15.75" customHeight="1" s="452" thickBot="1"/>
    <row r="6" ht="15.75" customHeight="1" s="452" thickBot="1">
      <c r="B6" s="455" t="inlineStr">
        <is>
          <t>1. İkili karşılaştırma matrisi – sarı hücrelere giriş yapınız</t>
        </is>
      </c>
      <c r="C6" s="438" t="n"/>
      <c r="D6" s="438" t="n"/>
      <c r="E6" s="438" t="n"/>
      <c r="F6" s="438" t="n"/>
      <c r="G6" s="438" t="n"/>
      <c r="H6" s="438" t="n"/>
      <c r="I6" s="438" t="n"/>
      <c r="J6" s="439" t="n"/>
      <c r="K6" s="455" t="n"/>
      <c r="L6" s="438" t="n"/>
      <c r="M6" s="438" t="n"/>
      <c r="N6" s="438" t="n"/>
      <c r="O6" s="438" t="n"/>
      <c r="P6" s="438" t="n"/>
      <c r="Q6" s="438" t="n"/>
      <c r="R6" s="438" t="n"/>
      <c r="S6" s="439" t="n"/>
    </row>
    <row r="7" ht="62.1" customFormat="1" customHeight="1" s="418">
      <c r="B7" s="374" t="n"/>
      <c r="C7" s="375" t="inlineStr">
        <is>
          <t>S-36 Ortalama fazla mesai süreleri</t>
        </is>
      </c>
      <c r="D7" s="375" t="inlineStr">
        <is>
          <t>S-37 Stajyer sayısı</t>
        </is>
      </c>
      <c r="E7" s="375" t="inlineStr">
        <is>
          <t>S-38 Çalışanlar tarafından açılan davalar</t>
        </is>
      </c>
      <c r="F7" s="375" t="inlineStr">
        <is>
          <t>S-39 Memnuniyet anketleri/şikayetler</t>
        </is>
      </c>
      <c r="G7" s="375" t="inlineStr">
        <is>
          <t>S-40 İş kazaları</t>
        </is>
      </c>
      <c r="H7" s="375" t="inlineStr">
        <is>
          <t>S-41 Meslek Hastalıkları</t>
        </is>
      </c>
      <c r="I7" s="375" t="inlineStr">
        <is>
          <t>S-42 İSG (Eğitimler/İSG Uzmanı istihdamı)</t>
        </is>
      </c>
      <c r="J7" s="376" t="inlineStr">
        <is>
          <t>S-43 Sağlık Hizmetleri</t>
        </is>
      </c>
      <c r="K7" s="376" t="inlineStr">
        <is>
          <t>Yerel ağırlık</t>
        </is>
      </c>
      <c r="L7" s="417" t="inlineStr">
        <is>
          <t>Giriş açıklaması</t>
        </is>
      </c>
    </row>
    <row r="8" ht="32.1" customHeight="1" s="452">
      <c r="B8" s="377" t="inlineStr">
        <is>
          <t>S-36 Ortalama fazla mesai süreleri</t>
        </is>
      </c>
      <c r="C8" s="261" t="n">
        <v>1</v>
      </c>
      <c r="D8" s="262" t="n">
        <v>3</v>
      </c>
      <c r="E8" s="262">
        <f>1/3</f>
        <v/>
      </c>
      <c r="F8" s="262" t="n">
        <v>2</v>
      </c>
      <c r="G8" s="262">
        <f>1/3</f>
        <v/>
      </c>
      <c r="H8" s="262" t="n">
        <v>0.5</v>
      </c>
      <c r="I8" s="262" t="n">
        <v>0.25</v>
      </c>
      <c r="J8" s="378" t="n">
        <v>0.5</v>
      </c>
      <c r="L8" s="435" t="inlineStr">
        <is>
          <t>Sarı hücrelere Saaty ölçeğinde 1–9 veya ters değerleri giriniz. Yeşil hücreler otomatik ters değerlerdir.</t>
        </is>
      </c>
    </row>
    <row r="9" ht="32.1" customHeight="1" s="452">
      <c r="B9" s="377" t="inlineStr">
        <is>
          <t>S-37 Stajyer sayısı</t>
        </is>
      </c>
      <c r="C9" s="263">
        <f>IFERROR(1/D8,"")</f>
        <v/>
      </c>
      <c r="D9" s="261" t="n">
        <v>1</v>
      </c>
      <c r="E9" s="262" t="n">
        <v>0.25</v>
      </c>
      <c r="F9" s="262" t="n">
        <v>0.5</v>
      </c>
      <c r="G9" s="262" t="n">
        <v>0.2</v>
      </c>
      <c r="H9" s="262" t="n">
        <v>0.2</v>
      </c>
      <c r="I9" s="262" t="n">
        <v>0.2</v>
      </c>
      <c r="J9" s="378" t="n">
        <v>0.2</v>
      </c>
    </row>
    <row r="10" ht="32.1" customHeight="1" s="452">
      <c r="B10" s="377" t="inlineStr">
        <is>
          <t>S-38 Çalışanlar tarafından açılan davalar</t>
        </is>
      </c>
      <c r="C10" s="263">
        <f>IFERROR(1/E8,"")</f>
        <v/>
      </c>
      <c r="D10" s="263">
        <f>IFERROR(1/E9,"")</f>
        <v/>
      </c>
      <c r="E10" s="261" t="n">
        <v>1</v>
      </c>
      <c r="F10" s="262" t="n">
        <v>4</v>
      </c>
      <c r="G10" s="262" t="n">
        <v>0.5</v>
      </c>
      <c r="H10" s="262" t="n">
        <v>2</v>
      </c>
      <c r="I10" s="262" t="n">
        <v>3</v>
      </c>
      <c r="J10" s="378" t="n">
        <v>5</v>
      </c>
    </row>
    <row r="11" ht="32.1" customHeight="1" s="452">
      <c r="B11" s="377" t="inlineStr">
        <is>
          <t>S-39 Memnuniyet anketleri/şikayetler</t>
        </is>
      </c>
      <c r="C11" s="263">
        <f>IFERROR(1/F8,"")</f>
        <v/>
      </c>
      <c r="D11" s="263">
        <f>IFERROR(1/F9,"")</f>
        <v/>
      </c>
      <c r="E11" s="263">
        <f>IFERROR(1/F10,"")</f>
        <v/>
      </c>
      <c r="F11" s="261" t="n">
        <v>1</v>
      </c>
      <c r="G11" s="262" t="n">
        <v>0.2</v>
      </c>
      <c r="H11" s="262" t="n">
        <v>0.25</v>
      </c>
      <c r="I11" s="262" t="n">
        <v>0.2</v>
      </c>
      <c r="J11" s="378" t="n">
        <v>0.5</v>
      </c>
    </row>
    <row r="12" ht="32.1" customHeight="1" s="452">
      <c r="B12" s="377" t="inlineStr">
        <is>
          <t>S-40 İş kazaları</t>
        </is>
      </c>
      <c r="C12" s="263">
        <f>IFERROR(1/G8,"")</f>
        <v/>
      </c>
      <c r="D12" s="263">
        <f>IFERROR(1/G9,"")</f>
        <v/>
      </c>
      <c r="E12" s="263">
        <f>IFERROR(1/G10,"")</f>
        <v/>
      </c>
      <c r="F12" s="263">
        <f>IFERROR(1/G11,"")</f>
        <v/>
      </c>
      <c r="G12" s="261" t="n">
        <v>1</v>
      </c>
      <c r="H12" s="262" t="n">
        <v>3</v>
      </c>
      <c r="I12" s="262" t="n">
        <v>4</v>
      </c>
      <c r="J12" s="378" t="n">
        <v>5</v>
      </c>
    </row>
    <row r="13" ht="32.1" customHeight="1" s="452">
      <c r="B13" s="377" t="inlineStr">
        <is>
          <t>S-41 Meslek Hastalıkları</t>
        </is>
      </c>
      <c r="C13" s="263">
        <f>IFERROR(1/H8,"")</f>
        <v/>
      </c>
      <c r="D13" s="263">
        <f>IFERROR(1/H9,"")</f>
        <v/>
      </c>
      <c r="E13" s="263">
        <f>IFERROR(1/H10,"")</f>
        <v/>
      </c>
      <c r="F13" s="263">
        <f>IFERROR(1/H11,"")</f>
        <v/>
      </c>
      <c r="G13" s="263">
        <f>IFERROR(1/H12,"")</f>
        <v/>
      </c>
      <c r="H13" s="261" t="n">
        <v>1</v>
      </c>
      <c r="I13" s="262" t="n">
        <v>0.5</v>
      </c>
      <c r="J13" s="378" t="n">
        <v>2</v>
      </c>
    </row>
    <row r="14" ht="32.1" customHeight="1" s="452">
      <c r="B14" s="377" t="inlineStr">
        <is>
          <t>S-42 İSG (Eğitimler/İSG Uzmanı istihdamı)</t>
        </is>
      </c>
      <c r="C14" s="263">
        <f>IFERROR(1/I8,"")</f>
        <v/>
      </c>
      <c r="D14" s="263">
        <f>IFERROR(1/I9,"")</f>
        <v/>
      </c>
      <c r="E14" s="263">
        <f>IFERROR(1/I10,"")</f>
        <v/>
      </c>
      <c r="F14" s="263">
        <f>IFERROR(1/I11,"")</f>
        <v/>
      </c>
      <c r="G14" s="263">
        <f>IFERROR(1/I12,"")</f>
        <v/>
      </c>
      <c r="H14" s="263">
        <f>IFERROR(1/I13,"")</f>
        <v/>
      </c>
      <c r="I14" s="261" t="n">
        <v>1</v>
      </c>
      <c r="J14" s="378" t="n">
        <v>3</v>
      </c>
    </row>
    <row r="15" ht="32.1" customHeight="1" s="452" thickBot="1">
      <c r="B15" s="379" t="inlineStr">
        <is>
          <t>S-43 Sağlık Hizmetleri</t>
        </is>
      </c>
      <c r="C15" s="380">
        <f>IFERROR(1/J8,"")</f>
        <v/>
      </c>
      <c r="D15" s="380">
        <f>IFERROR(1/J9,"")</f>
        <v/>
      </c>
      <c r="E15" s="380">
        <f>IFERROR(1/J10,"")</f>
        <v/>
      </c>
      <c r="F15" s="380">
        <f>IFERROR(1/J11,"")</f>
        <v/>
      </c>
      <c r="G15" s="380">
        <f>IFERROR(1/J12,"")</f>
        <v/>
      </c>
      <c r="H15" s="380">
        <f>IFERROR(1/J13,"")</f>
        <v/>
      </c>
      <c r="I15" s="380">
        <f>IFERROR(1/J14,"")</f>
        <v/>
      </c>
      <c r="J15" s="381" t="n">
        <v>1</v>
      </c>
    </row>
    <row r="17" ht="15.75" customHeight="1" s="452" thickBot="1"/>
    <row r="18" ht="15.75" customHeight="1" s="452" thickBot="1">
      <c r="B18" s="437" t="inlineStr">
        <is>
          <t>2. Normalize matris ve yerel ağırlıklar</t>
        </is>
      </c>
      <c r="C18" s="438" t="n"/>
      <c r="D18" s="438" t="n"/>
      <c r="E18" s="438" t="n"/>
      <c r="F18" s="438" t="n"/>
      <c r="G18" s="438" t="n"/>
      <c r="H18" s="438" t="n"/>
      <c r="I18" s="438" t="n"/>
      <c r="J18" s="438" t="n"/>
      <c r="K18" s="402" t="n"/>
    </row>
    <row r="19" ht="45" customHeight="1" s="452">
      <c r="B19" s="394" t="n"/>
      <c r="C19" s="383" t="inlineStr">
        <is>
          <t>S-36 Ortalama fazla mesai süreleri</t>
        </is>
      </c>
      <c r="D19" s="383" t="inlineStr">
        <is>
          <t>S-37 Stajyer sayısı</t>
        </is>
      </c>
      <c r="E19" s="383" t="inlineStr">
        <is>
          <t>S-38 Çalışanlar tarafından açılan davalar</t>
        </is>
      </c>
      <c r="F19" s="383" t="inlineStr">
        <is>
          <t>S-39 Memnuniyet anketleri/şikayetler</t>
        </is>
      </c>
      <c r="G19" s="383" t="inlineStr">
        <is>
          <t>S-40 İş kazaları</t>
        </is>
      </c>
      <c r="H19" s="383" t="inlineStr">
        <is>
          <t>S-41 Meslek Hastalıkları</t>
        </is>
      </c>
      <c r="I19" s="383" t="inlineStr">
        <is>
          <t>S-42 İSG (Eğitimler/İSG Uzmanı istihdamı)</t>
        </is>
      </c>
      <c r="J19" s="383" t="inlineStr">
        <is>
          <t>S-43 Sağlık Hizmetleri</t>
        </is>
      </c>
      <c r="K19" s="384" t="inlineStr">
        <is>
          <t>Yerel ağırlık</t>
        </is>
      </c>
    </row>
    <row r="20">
      <c r="B20" s="377" t="inlineStr">
        <is>
          <t>S-36 Ortalama fazla mesai süreleri</t>
        </is>
      </c>
      <c r="C20" s="244">
        <f>IFERROR(C8/C$28,"")</f>
        <v/>
      </c>
      <c r="D20" s="244">
        <f>IFERROR(D8/D$28,"")</f>
        <v/>
      </c>
      <c r="E20" s="244">
        <f>IFERROR(E8/E$28,"")</f>
        <v/>
      </c>
      <c r="F20" s="244">
        <f>IFERROR(F8/F$28,"")</f>
        <v/>
      </c>
      <c r="G20" s="244">
        <f>IFERROR(G8/G$28,"")</f>
        <v/>
      </c>
      <c r="H20" s="244">
        <f>IFERROR(H8/H$28,"")</f>
        <v/>
      </c>
      <c r="I20" s="244">
        <f>IFERROR(I8/I$28,"")</f>
        <v/>
      </c>
      <c r="J20" s="244">
        <f>IFERROR(J8/J$28,"")</f>
        <v/>
      </c>
      <c r="K20" s="349">
        <f>IFERROR(AVERAGE(C20:J20),"")</f>
        <v/>
      </c>
    </row>
    <row r="21">
      <c r="B21" s="377" t="inlineStr">
        <is>
          <t>S-37 Stajyer sayısı</t>
        </is>
      </c>
      <c r="C21" s="244">
        <f>IFERROR(C9/C$28,"")</f>
        <v/>
      </c>
      <c r="D21" s="244">
        <f>IFERROR(D9/D$28,"")</f>
        <v/>
      </c>
      <c r="E21" s="244">
        <f>IFERROR(E9/E$28,"")</f>
        <v/>
      </c>
      <c r="F21" s="244">
        <f>IFERROR(F9/F$28,"")</f>
        <v/>
      </c>
      <c r="G21" s="244">
        <f>IFERROR(G9/G$28,"")</f>
        <v/>
      </c>
      <c r="H21" s="244">
        <f>IFERROR(H9/H$28,"")</f>
        <v/>
      </c>
      <c r="I21" s="244">
        <f>IFERROR(I9/I$28,"")</f>
        <v/>
      </c>
      <c r="J21" s="244">
        <f>IFERROR(J9/J$28,"")</f>
        <v/>
      </c>
      <c r="K21" s="349">
        <f>IFERROR(AVERAGE(C21:J21),"")</f>
        <v/>
      </c>
    </row>
    <row r="22">
      <c r="B22" s="377" t="inlineStr">
        <is>
          <t>S-38 Çalışanlar tarafından açılan davalar</t>
        </is>
      </c>
      <c r="C22" s="244">
        <f>IFERROR(C10/C$28,"")</f>
        <v/>
      </c>
      <c r="D22" s="244">
        <f>IFERROR(D10/D$28,"")</f>
        <v/>
      </c>
      <c r="E22" s="244">
        <f>IFERROR(E10/E$28,"")</f>
        <v/>
      </c>
      <c r="F22" s="244">
        <f>IFERROR(F10/F$28,"")</f>
        <v/>
      </c>
      <c r="G22" s="244">
        <f>IFERROR(G10/G$28,"")</f>
        <v/>
      </c>
      <c r="H22" s="244">
        <f>IFERROR(H10/H$28,"")</f>
        <v/>
      </c>
      <c r="I22" s="244">
        <f>IFERROR(I10/I$28,"")</f>
        <v/>
      </c>
      <c r="J22" s="244">
        <f>IFERROR(J10/J$28,"")</f>
        <v/>
      </c>
      <c r="K22" s="349">
        <f>IFERROR(AVERAGE(C22:J22),"")</f>
        <v/>
      </c>
    </row>
    <row r="23">
      <c r="B23" s="377" t="inlineStr">
        <is>
          <t>S-39 Memnuniyet anketleri/şikayetler</t>
        </is>
      </c>
      <c r="C23" s="244">
        <f>IFERROR(C11/C$28,"")</f>
        <v/>
      </c>
      <c r="D23" s="244">
        <f>IFERROR(D11/D$28,"")</f>
        <v/>
      </c>
      <c r="E23" s="244">
        <f>IFERROR(E11/E$28,"")</f>
        <v/>
      </c>
      <c r="F23" s="244">
        <f>IFERROR(F11/F$28,"")</f>
        <v/>
      </c>
      <c r="G23" s="244">
        <f>IFERROR(G11/G$28,"")</f>
        <v/>
      </c>
      <c r="H23" s="244">
        <f>IFERROR(H11/H$28,"")</f>
        <v/>
      </c>
      <c r="I23" s="244">
        <f>IFERROR(I11/I$28,"")</f>
        <v/>
      </c>
      <c r="J23" s="244">
        <f>IFERROR(J11/J$28,"")</f>
        <v/>
      </c>
      <c r="K23" s="349">
        <f>IFERROR(AVERAGE(C23:J23),"")</f>
        <v/>
      </c>
    </row>
    <row r="24">
      <c r="B24" s="377" t="inlineStr">
        <is>
          <t>S-40 İş kazaları</t>
        </is>
      </c>
      <c r="C24" s="244">
        <f>IFERROR(C12/C$28,"")</f>
        <v/>
      </c>
      <c r="D24" s="244">
        <f>IFERROR(D12/D$28,"")</f>
        <v/>
      </c>
      <c r="E24" s="244">
        <f>IFERROR(E12/E$28,"")</f>
        <v/>
      </c>
      <c r="F24" s="244">
        <f>IFERROR(F12/F$28,"")</f>
        <v/>
      </c>
      <c r="G24" s="244">
        <f>IFERROR(G12/G$28,"")</f>
        <v/>
      </c>
      <c r="H24" s="244">
        <f>IFERROR(H12/H$28,"")</f>
        <v/>
      </c>
      <c r="I24" s="244">
        <f>IFERROR(I12/I$28,"")</f>
        <v/>
      </c>
      <c r="J24" s="244">
        <f>IFERROR(J12/J$28,"")</f>
        <v/>
      </c>
      <c r="K24" s="349">
        <f>IFERROR(AVERAGE(C24:J24),"")</f>
        <v/>
      </c>
    </row>
    <row r="25">
      <c r="B25" s="377" t="inlineStr">
        <is>
          <t>S-41 Meslek Hastalıkları</t>
        </is>
      </c>
      <c r="C25" s="244">
        <f>IFERROR(C13/C$28,"")</f>
        <v/>
      </c>
      <c r="D25" s="244">
        <f>IFERROR(D13/D$28,"")</f>
        <v/>
      </c>
      <c r="E25" s="244">
        <f>IFERROR(E13/E$28,"")</f>
        <v/>
      </c>
      <c r="F25" s="244">
        <f>IFERROR(F13/F$28,"")</f>
        <v/>
      </c>
      <c r="G25" s="244">
        <f>IFERROR(G13/G$28,"")</f>
        <v/>
      </c>
      <c r="H25" s="244">
        <f>IFERROR(H13/H$28,"")</f>
        <v/>
      </c>
      <c r="I25" s="244">
        <f>IFERROR(I13/I$28,"")</f>
        <v/>
      </c>
      <c r="J25" s="244">
        <f>IFERROR(J13/J$28,"")</f>
        <v/>
      </c>
      <c r="K25" s="349">
        <f>IFERROR(AVERAGE(C25:J25),"")</f>
        <v/>
      </c>
    </row>
    <row r="26">
      <c r="B26" s="377" t="inlineStr">
        <is>
          <t>S-42 İSG (Eğitimler/İSG Uzmanı istihdamı)</t>
        </is>
      </c>
      <c r="C26" s="244">
        <f>IFERROR(C14/C$28,"")</f>
        <v/>
      </c>
      <c r="D26" s="244">
        <f>IFERROR(D14/D$28,"")</f>
        <v/>
      </c>
      <c r="E26" s="244">
        <f>IFERROR(E14/E$28,"")</f>
        <v/>
      </c>
      <c r="F26" s="244">
        <f>IFERROR(F14/F$28,"")</f>
        <v/>
      </c>
      <c r="G26" s="244">
        <f>IFERROR(G14/G$28,"")</f>
        <v/>
      </c>
      <c r="H26" s="244">
        <f>IFERROR(H14/H$28,"")</f>
        <v/>
      </c>
      <c r="I26" s="244">
        <f>IFERROR(I14/I$28,"")</f>
        <v/>
      </c>
      <c r="J26" s="244">
        <f>IFERROR(J14/J$28,"")</f>
        <v/>
      </c>
      <c r="K26" s="349">
        <f>IFERROR(AVERAGE(C26:J26),"")</f>
        <v/>
      </c>
    </row>
    <row r="27">
      <c r="B27" s="377" t="inlineStr">
        <is>
          <t>S-43 Sağlık Hizmetleri</t>
        </is>
      </c>
      <c r="C27" s="244">
        <f>IFERROR(C15/C$28,"")</f>
        <v/>
      </c>
      <c r="D27" s="244">
        <f>IFERROR(D15/D$28,"")</f>
        <v/>
      </c>
      <c r="E27" s="244">
        <f>IFERROR(E15/E$28,"")</f>
        <v/>
      </c>
      <c r="F27" s="244">
        <f>IFERROR(F15/F$28,"")</f>
        <v/>
      </c>
      <c r="G27" s="244">
        <f>IFERROR(G15/G$28,"")</f>
        <v/>
      </c>
      <c r="H27" s="244">
        <f>IFERROR(H15/H$28,"")</f>
        <v/>
      </c>
      <c r="I27" s="244">
        <f>IFERROR(I15/I$28,"")</f>
        <v/>
      </c>
      <c r="J27" s="244">
        <f>IFERROR(J15/J$28,"")</f>
        <v/>
      </c>
      <c r="K27" s="349">
        <f>IFERROR(AVERAGE(C27:J27),"")</f>
        <v/>
      </c>
    </row>
    <row r="28">
      <c r="B28" s="395" t="inlineStr">
        <is>
          <t>Sütun toplamı</t>
        </is>
      </c>
      <c r="C28" s="247">
        <f>SUM(C8:C15)</f>
        <v/>
      </c>
      <c r="D28" s="247">
        <f>SUM(D8:D15)</f>
        <v/>
      </c>
      <c r="E28" s="247">
        <f>SUM(E8:E15)</f>
        <v/>
      </c>
      <c r="F28" s="247">
        <f>SUM(F8:F15)</f>
        <v/>
      </c>
      <c r="G28" s="247">
        <f>SUM(G8:G15)</f>
        <v/>
      </c>
      <c r="H28" s="247">
        <f>SUM(H8:H15)</f>
        <v/>
      </c>
      <c r="I28" s="247">
        <f>SUM(I8:I15)</f>
        <v/>
      </c>
      <c r="J28" s="247">
        <f>SUM(J8:J15)</f>
        <v/>
      </c>
      <c r="K28" s="355" t="n"/>
    </row>
    <row r="29" hidden="1" s="452">
      <c r="B29" s="354" t="n"/>
      <c r="K29" s="355" t="n"/>
    </row>
    <row r="30" ht="15.75" customHeight="1" s="452" thickBot="1">
      <c r="B30" s="459" t="inlineStr">
        <is>
          <t>Ağırlık toplamı</t>
        </is>
      </c>
      <c r="C30" s="456" t="n"/>
      <c r="D30" s="456" t="n"/>
      <c r="E30" s="461" t="n"/>
      <c r="F30" s="461" t="n"/>
      <c r="G30" s="461" t="n"/>
      <c r="H30" s="461" t="n"/>
      <c r="I30" s="461" t="n"/>
      <c r="J30" s="461" t="n"/>
      <c r="K30" s="456">
        <f>SUM(K20:K27)</f>
        <v/>
      </c>
    </row>
    <row r="31" ht="15.75" customHeight="1" s="452" thickBot="1"/>
    <row r="32" ht="15.75" customHeight="1" s="452" thickBot="1">
      <c r="B32" s="455" t="inlineStr">
        <is>
          <t>3. Tutarlılık analizi</t>
        </is>
      </c>
      <c r="C32" s="438" t="n"/>
      <c r="D32" s="438" t="n"/>
      <c r="E32" s="438" t="n"/>
      <c r="F32" s="438" t="n"/>
      <c r="G32" s="438" t="n"/>
      <c r="H32" s="438" t="n"/>
      <c r="I32" s="438" t="n"/>
      <c r="J32" s="438" t="n"/>
      <c r="K32" s="439" t="n"/>
    </row>
    <row r="33">
      <c r="B33" s="371" t="inlineStr">
        <is>
          <t>λmax</t>
        </is>
      </c>
      <c r="C33" s="438" t="n"/>
      <c r="D33" s="438" t="n"/>
      <c r="E33" s="438" t="n"/>
      <c r="F33" s="438" t="n"/>
      <c r="G33" s="438" t="n"/>
      <c r="H33" s="438" t="n"/>
      <c r="I33" s="438" t="n"/>
      <c r="J33" s="438" t="n"/>
      <c r="K33" s="396">
        <f>C28*K20+D28*K21+E28*K22+F28*K23+G28*K24+H28*K25+I28*K26+J28*K27</f>
        <v/>
      </c>
    </row>
    <row r="34">
      <c r="B34" s="365" t="inlineStr">
        <is>
          <t>CI</t>
        </is>
      </c>
      <c r="K34" s="367">
        <f>IFERROR((K33-8)/(8-1),"")</f>
        <v/>
      </c>
    </row>
    <row r="35">
      <c r="B35" s="365" t="inlineStr">
        <is>
          <t>RI (n=8)</t>
        </is>
      </c>
      <c r="K35" s="367" t="n">
        <v>1.41</v>
      </c>
    </row>
    <row r="36">
      <c r="B36" s="365" t="inlineStr">
        <is>
          <t>CR</t>
        </is>
      </c>
      <c r="K36" s="367">
        <f>IFERROR(K34/K35,"")</f>
        <v/>
      </c>
    </row>
    <row r="37" ht="15.75" customHeight="1" s="452" thickBot="1">
      <c r="B37" s="368" t="inlineStr">
        <is>
          <t>Karar</t>
        </is>
      </c>
      <c r="C37" s="369" t="n"/>
      <c r="D37" s="369" t="n"/>
      <c r="E37" s="369" t="n"/>
      <c r="F37" s="369" t="n"/>
      <c r="G37" s="369" t="n"/>
      <c r="H37" s="369" t="n"/>
      <c r="I37" s="369" t="n"/>
      <c r="J37" s="369" t="n"/>
      <c r="K37" s="370">
        <f>IF(COUNT(D8,E8,F8,G8,H8,I8,J8,E9,F9,G9,H9,I9,J9,F10,G10,H10,I10,J10,G11,H11,I11,J11,H12,I12,J12,I13,J13,J14)&lt;28,"Veri bekleniyor",IF(K36&lt;=0.1,"Tutarlı (CR ≤ 0,10)","Gözden geçirilmeli (CR &gt; 0,10)"))</f>
        <v/>
      </c>
    </row>
  </sheetData>
  <mergeCells count="7">
    <mergeCell ref="B2:M2"/>
    <mergeCell ref="C4:M4"/>
    <mergeCell ref="B32:K32"/>
    <mergeCell ref="K6:S6"/>
    <mergeCell ref="B18:J18"/>
    <mergeCell ref="L8:N15"/>
    <mergeCell ref="B6:J6"/>
  </mergeCells>
  <pageMargins left="0.75" right="0.75" top="1" bottom="1" header="0.5" footer="0.5"/>
</worksheet>
</file>

<file path=xl/worksheets/sheet13.xml><?xml version="1.0" encoding="utf-8"?>
<worksheet xmlns="http://schemas.openxmlformats.org/spreadsheetml/2006/main">
  <sheetPr codeName="Sayfa29">
    <outlinePr summaryBelow="1" summaryRight="1"/>
    <pageSetUpPr/>
  </sheetPr>
  <dimension ref="B2:I27"/>
  <sheetViews>
    <sheetView showGridLines="0" workbookViewId="0">
      <pane xSplit="2" ySplit="7" topLeftCell="C17" activePane="bottomRight" state="frozen"/>
      <selection pane="topRight" activeCell="A1" sqref="A1"/>
      <selection pane="bottomLeft" activeCell="A1" sqref="A1"/>
      <selection pane="bottomRight" activeCell="F23" sqref="F23:F27"/>
    </sheetView>
  </sheetViews>
  <sheetFormatPr baseColWidth="8" defaultRowHeight="15"/>
  <cols>
    <col width="48" customWidth="1" style="452" min="2" max="2"/>
    <col hidden="1" width="18" customWidth="1" style="452" min="3" max="5"/>
    <col width="18" customWidth="1" style="452" min="6" max="9"/>
  </cols>
  <sheetData>
    <row r="2" ht="18.75" customHeight="1" s="452">
      <c r="B2" s="436" t="inlineStr">
        <is>
          <t>Sosyal → Toplum / Kişisel Koruma Göstergeleri AHP</t>
        </is>
      </c>
    </row>
    <row r="4">
      <c r="B4" s="238" t="inlineStr">
        <is>
          <t>Karşılaştırma düzeyi</t>
        </is>
      </c>
      <c r="C4" t="inlineStr">
        <is>
          <t>Sosyal → Toplum / Kişisel Koruma</t>
        </is>
      </c>
    </row>
    <row r="5" ht="15.75" customHeight="1" s="452" thickBot="1"/>
    <row r="6" ht="15.75" customHeight="1" s="452" thickBot="1">
      <c r="B6" s="455" t="inlineStr">
        <is>
          <t>1. İkili karşılaştırma matrisi – sarı hücrelere giriş yapınız</t>
        </is>
      </c>
      <c r="C6" s="438" t="n"/>
      <c r="D6" s="438" t="n"/>
      <c r="E6" s="439" t="n"/>
    </row>
    <row r="7" ht="62.1" customHeight="1" s="452">
      <c r="B7" s="375" t="n"/>
      <c r="C7" s="375" t="inlineStr">
        <is>
          <t>S-44 KKD</t>
        </is>
      </c>
      <c r="D7" s="375" t="inlineStr">
        <is>
          <t>S-45 Yerel Topluluklara fayda</t>
        </is>
      </c>
      <c r="E7" s="376" t="inlineStr">
        <is>
          <t>S-46 Mesleki eğitimler</t>
        </is>
      </c>
      <c r="G7" s="238" t="inlineStr">
        <is>
          <t>Giriş açıklaması</t>
        </is>
      </c>
    </row>
    <row r="8" ht="32.1" customHeight="1" s="452">
      <c r="B8" s="377" t="inlineStr">
        <is>
          <t>S-44 KKD</t>
        </is>
      </c>
      <c r="C8" s="261" t="n">
        <v>1</v>
      </c>
      <c r="D8" s="262" t="n">
        <v>3</v>
      </c>
      <c r="E8" s="378" t="n">
        <v>5</v>
      </c>
      <c r="G8" s="435" t="inlineStr">
        <is>
          <t>Sarı hücrelere Saaty ölçeğinde 1–9 veya ters değerleri giriniz. Yeşil hücreler otomatik ters değerlerdir.</t>
        </is>
      </c>
    </row>
    <row r="9" ht="32.1" customHeight="1" s="452">
      <c r="B9" s="377" t="inlineStr">
        <is>
          <t>S-45 Yerel Topluluklara fayda</t>
        </is>
      </c>
      <c r="C9" s="263">
        <f>IFERROR(1/D8,"")</f>
        <v/>
      </c>
      <c r="D9" s="261" t="n">
        <v>1</v>
      </c>
      <c r="E9" s="378" t="n">
        <v>2</v>
      </c>
    </row>
    <row r="10" ht="32.1" customHeight="1" s="452" thickBot="1">
      <c r="B10" s="379" t="inlineStr">
        <is>
          <t>S-46 Mesleki eğitimler</t>
        </is>
      </c>
      <c r="C10" s="380">
        <f>IFERROR(1/E8,"")</f>
        <v/>
      </c>
      <c r="D10" s="380">
        <f>IFERROR(1/E9,"")</f>
        <v/>
      </c>
      <c r="E10" s="381" t="n">
        <v>1</v>
      </c>
    </row>
    <row r="12" ht="15.75" customHeight="1" s="452" thickBot="1"/>
    <row r="13" ht="15.75" customHeight="1" s="452" thickBot="1">
      <c r="B13" s="437" t="inlineStr">
        <is>
          <t>2. Normalize matris ve yerel ağırlıklar</t>
        </is>
      </c>
      <c r="C13" s="438" t="n"/>
      <c r="D13" s="438" t="n"/>
      <c r="E13" s="438" t="n"/>
      <c r="F13" s="421" t="n"/>
      <c r="G13" s="438" t="n"/>
      <c r="H13" s="438" t="n"/>
      <c r="I13" s="438" t="n"/>
    </row>
    <row r="14" ht="30" customHeight="1" s="452">
      <c r="B14" s="394" t="n"/>
      <c r="C14" s="383" t="inlineStr">
        <is>
          <t>S-44 KKD</t>
        </is>
      </c>
      <c r="D14" s="383" t="inlineStr">
        <is>
          <t>S-45 Yerel Topluluklara fayda</t>
        </is>
      </c>
      <c r="E14" s="383" t="inlineStr">
        <is>
          <t>S-46 Mesleki eğitimler</t>
        </is>
      </c>
      <c r="F14" s="384" t="inlineStr">
        <is>
          <t>Yerel ağırlık</t>
        </is>
      </c>
    </row>
    <row r="15">
      <c r="B15" s="377" t="inlineStr">
        <is>
          <t>S-44 KKD</t>
        </is>
      </c>
      <c r="C15" s="244">
        <f>IFERROR(C8/C$18,"")</f>
        <v/>
      </c>
      <c r="D15" s="244">
        <f>IFERROR(D8/D$18,"")</f>
        <v/>
      </c>
      <c r="E15" s="244">
        <f>IFERROR(E8/E$18,"")</f>
        <v/>
      </c>
      <c r="F15" s="349">
        <f>IFERROR(AVERAGE(C15:E15),"")</f>
        <v/>
      </c>
    </row>
    <row r="16">
      <c r="B16" s="377" t="inlineStr">
        <is>
          <t>S-45 Yerel Topluluklara fayda</t>
        </is>
      </c>
      <c r="C16" s="244">
        <f>IFERROR(C9/C$18,"")</f>
        <v/>
      </c>
      <c r="D16" s="244">
        <f>IFERROR(D9/D$18,"")</f>
        <v/>
      </c>
      <c r="E16" s="244">
        <f>IFERROR(E9/E$18,"")</f>
        <v/>
      </c>
      <c r="F16" s="349">
        <f>IFERROR(AVERAGE(C16:E16),"")</f>
        <v/>
      </c>
    </row>
    <row r="17">
      <c r="B17" s="377" t="inlineStr">
        <is>
          <t>S-46 Mesleki eğitimler</t>
        </is>
      </c>
      <c r="C17" s="244">
        <f>IFERROR(C10/C$18,"")</f>
        <v/>
      </c>
      <c r="D17" s="244">
        <f>IFERROR(D10/D$18,"")</f>
        <v/>
      </c>
      <c r="E17" s="244">
        <f>IFERROR(E10/E$18,"")</f>
        <v/>
      </c>
      <c r="F17" s="349">
        <f>IFERROR(AVERAGE(C17:E17),"")</f>
        <v/>
      </c>
    </row>
    <row r="18">
      <c r="B18" s="395" t="inlineStr">
        <is>
          <t>Sütun toplamı</t>
        </is>
      </c>
      <c r="C18" s="247">
        <f>SUM(C8:C10)</f>
        <v/>
      </c>
      <c r="D18" s="247">
        <f>SUM(D8:D10)</f>
        <v/>
      </c>
      <c r="E18" s="247">
        <f>SUM(E8:E10)</f>
        <v/>
      </c>
      <c r="F18" s="355" t="n"/>
    </row>
    <row r="19" hidden="1" s="452">
      <c r="B19" s="354" t="n"/>
      <c r="F19" s="355" t="n"/>
    </row>
    <row r="20" ht="15.75" customHeight="1" s="452" thickBot="1">
      <c r="B20" s="460" t="inlineStr">
        <is>
          <t>Ağırlık toplamı</t>
        </is>
      </c>
      <c r="C20" s="461" t="n"/>
      <c r="D20" s="461" t="n"/>
      <c r="E20" s="461" t="n"/>
      <c r="F20" s="456">
        <f>SUM(F15:F17)</f>
        <v/>
      </c>
    </row>
    <row r="21" ht="15.75" customHeight="1" s="452" thickBot="1">
      <c r="B21" s="382" t="n"/>
      <c r="C21" s="438" t="n"/>
      <c r="D21" s="438" t="n"/>
      <c r="E21" s="438" t="n"/>
      <c r="F21" s="439" t="n"/>
    </row>
    <row r="22" ht="15.75" customHeight="1" s="452" thickBot="1">
      <c r="B22" s="455" t="inlineStr">
        <is>
          <t>3. Tutarlılık analizi</t>
        </is>
      </c>
      <c r="C22" s="438" t="n"/>
      <c r="D22" s="438" t="n"/>
      <c r="E22" s="438" t="n"/>
      <c r="F22" s="439" t="n"/>
    </row>
    <row r="23">
      <c r="B23" s="371" t="inlineStr">
        <is>
          <t>λmax</t>
        </is>
      </c>
      <c r="C23" s="438" t="n"/>
      <c r="D23" s="438" t="n"/>
      <c r="E23" s="438" t="n"/>
      <c r="F23" s="396">
        <f>C18*F15+D18*F16+E18*F17</f>
        <v/>
      </c>
    </row>
    <row r="24">
      <c r="B24" s="365" t="inlineStr">
        <is>
          <t>CI</t>
        </is>
      </c>
      <c r="F24" s="367">
        <f>IFERROR((F23-3)/(3-1),"")</f>
        <v/>
      </c>
    </row>
    <row r="25">
      <c r="B25" s="365" t="inlineStr">
        <is>
          <t>RI (n=3)</t>
        </is>
      </c>
      <c r="F25" s="367" t="n">
        <v>0.58</v>
      </c>
    </row>
    <row r="26">
      <c r="B26" s="365" t="inlineStr">
        <is>
          <t>CR</t>
        </is>
      </c>
      <c r="F26" s="367">
        <f>IFERROR(F24/F25,"")</f>
        <v/>
      </c>
    </row>
    <row r="27" ht="15.75" customHeight="1" s="452" thickBot="1">
      <c r="B27" s="368" t="inlineStr">
        <is>
          <t>Karar</t>
        </is>
      </c>
      <c r="C27" s="369" t="n"/>
      <c r="D27" s="369" t="n"/>
      <c r="E27" s="369" t="n"/>
      <c r="F27" s="370">
        <f>IF(COUNT(D8,E8,E9)&lt;3,"Veri bekleniyor",IF(F26&lt;=0.1,"Tutarlı (CR ≤ 0,10)","Gözden geçirilmeli (CR &gt; 0,10)"))</f>
        <v/>
      </c>
    </row>
  </sheetData>
  <mergeCells count="6">
    <mergeCell ref="G8:I10"/>
    <mergeCell ref="B13:E13"/>
    <mergeCell ref="B6:E6"/>
    <mergeCell ref="B2:H2"/>
    <mergeCell ref="C4:H4"/>
    <mergeCell ref="B22:F22"/>
  </mergeCells>
  <pageMargins left="0.75" right="0.75" top="1" bottom="1" header="0.5" footer="0.5"/>
</worksheet>
</file>

<file path=xl/worksheets/sheet14.xml><?xml version="1.0" encoding="utf-8"?>
<worksheet xmlns="http://schemas.openxmlformats.org/spreadsheetml/2006/main">
  <sheetPr codeName="Sayfa31">
    <outlinePr summaryBelow="1" summaryRight="1"/>
    <pageSetUpPr/>
  </sheetPr>
  <dimension ref="B2:H25"/>
  <sheetViews>
    <sheetView showGridLines="0" workbookViewId="0">
      <pane xSplit="2" ySplit="7" topLeftCell="C11" activePane="bottomRight" state="frozen"/>
      <selection pane="topRight" activeCell="A1" sqref="A1"/>
      <selection pane="bottomLeft" activeCell="A1" sqref="A1"/>
      <selection pane="bottomRight" activeCell="E15" sqref="E14:E15"/>
    </sheetView>
  </sheetViews>
  <sheetFormatPr baseColWidth="8" defaultRowHeight="15"/>
  <cols>
    <col width="48" customWidth="1" style="452" min="2" max="2"/>
    <col width="18" customWidth="1" style="452" min="3" max="3"/>
    <col width="15.42578125" customWidth="1" style="452" min="4" max="4"/>
    <col width="24.7109375" customWidth="1" style="452" min="5" max="5"/>
    <col width="18" customWidth="1" style="452" min="6" max="8"/>
  </cols>
  <sheetData>
    <row r="2" ht="18.75" customHeight="1" s="452">
      <c r="B2" s="436" t="inlineStr">
        <is>
          <t>Yönetişim Ana Bloğu Alt Grupları AHP</t>
        </is>
      </c>
    </row>
    <row r="4">
      <c r="B4" s="238" t="inlineStr">
        <is>
          <t>Karşılaştırma düzeyi</t>
        </is>
      </c>
      <c r="C4" t="inlineStr">
        <is>
          <t>Yönetişim ana bloğu alt grup karşılaştırması</t>
        </is>
      </c>
    </row>
    <row r="5" ht="15.75" customHeight="1" s="452" thickBot="1"/>
    <row r="6" ht="15.75" customHeight="1" s="452" thickBot="1">
      <c r="B6" s="455" t="inlineStr">
        <is>
          <t>1. İkili karşılaştırma matrisi – sarı hücrelere giriş yapınız</t>
        </is>
      </c>
      <c r="C6" s="438" t="n"/>
      <c r="D6" s="439" t="n"/>
    </row>
    <row r="7" ht="62.1" customHeight="1" s="452">
      <c r="B7" s="374" t="n"/>
      <c r="C7" s="375" t="inlineStr">
        <is>
          <t>Uyum ve Politika</t>
        </is>
      </c>
      <c r="D7" s="376" t="inlineStr">
        <is>
          <t>Tedarik Zinciri ve Risk</t>
        </is>
      </c>
      <c r="F7" s="238" t="inlineStr">
        <is>
          <t>Giriş açıklaması</t>
        </is>
      </c>
    </row>
    <row r="8" ht="32.1" customHeight="1" s="452">
      <c r="B8" s="377" t="inlineStr">
        <is>
          <t>Uyum ve Politika</t>
        </is>
      </c>
      <c r="C8" s="261" t="n">
        <v>1</v>
      </c>
      <c r="D8" s="378" t="n">
        <v>2</v>
      </c>
      <c r="F8" s="435" t="inlineStr">
        <is>
          <t>Sarı hücrelere Saaty ölçeğinde 1–9 veya ters değerleri giriniz. Yeşil hücreler otomatik ters değerlerdir.</t>
        </is>
      </c>
    </row>
    <row r="9" ht="32.1" customHeight="1" s="452" thickBot="1">
      <c r="B9" s="379" t="inlineStr">
        <is>
          <t>Tedarik Zinciri ve Risk</t>
        </is>
      </c>
      <c r="C9" s="380">
        <f>IFERROR(1/D8,"")</f>
        <v/>
      </c>
      <c r="D9" s="381" t="n">
        <v>1</v>
      </c>
    </row>
    <row r="11" ht="15.75" customHeight="1" s="452" thickBot="1"/>
    <row r="12" ht="15.75" customHeight="1" s="452" thickBot="1">
      <c r="B12" s="437" t="inlineStr">
        <is>
          <t>2. Normalize matris ve yerel ağırlıklar</t>
        </is>
      </c>
      <c r="C12" s="438" t="n"/>
      <c r="D12" s="438" t="n"/>
      <c r="E12" s="402" t="n"/>
    </row>
    <row r="13" ht="30" customHeight="1" s="452">
      <c r="B13" s="394" t="n"/>
      <c r="C13" s="383" t="inlineStr">
        <is>
          <t>Uyum ve Politika</t>
        </is>
      </c>
      <c r="D13" s="383" t="inlineStr">
        <is>
          <t>Tedarik Zinciri ve Risk</t>
        </is>
      </c>
      <c r="E13" s="384" t="inlineStr">
        <is>
          <t>Yerel ağırlık</t>
        </is>
      </c>
    </row>
    <row r="14">
      <c r="B14" s="377" t="inlineStr">
        <is>
          <t>Uyum ve Politika</t>
        </is>
      </c>
      <c r="C14" s="244">
        <f>IFERROR(C8/C$16,"")</f>
        <v/>
      </c>
      <c r="D14" s="244">
        <f>IFERROR(D8/D$16,"")</f>
        <v/>
      </c>
      <c r="E14" s="349">
        <f>IFERROR(AVERAGE(C14:D14),"")</f>
        <v/>
      </c>
    </row>
    <row r="15">
      <c r="B15" s="377" t="inlineStr">
        <is>
          <t>Tedarik Zinciri ve Risk</t>
        </is>
      </c>
      <c r="C15" s="244">
        <f>IFERROR(C9/C$16,"")</f>
        <v/>
      </c>
      <c r="D15" s="244">
        <f>IFERROR(D9/D$16,"")</f>
        <v/>
      </c>
      <c r="E15" s="349">
        <f>IFERROR(AVERAGE(C15:D15),"")</f>
        <v/>
      </c>
    </row>
    <row r="16">
      <c r="B16" s="395" t="inlineStr">
        <is>
          <t>Sütun toplamı</t>
        </is>
      </c>
      <c r="C16" s="247">
        <f>SUM(C8:C9)</f>
        <v/>
      </c>
      <c r="D16" s="247">
        <f>SUM(D8:D9)</f>
        <v/>
      </c>
      <c r="E16" s="355" t="n"/>
    </row>
    <row r="17" hidden="1" s="452">
      <c r="B17" s="354" t="n"/>
      <c r="E17" s="355" t="n"/>
    </row>
    <row r="18" ht="15.75" customHeight="1" s="452" thickBot="1">
      <c r="B18" s="460" t="inlineStr">
        <is>
          <t>Ağırlık toplamı</t>
        </is>
      </c>
      <c r="C18" s="461" t="n"/>
      <c r="D18" s="461" t="n"/>
      <c r="E18" s="456">
        <f>SUM(E14:E15)</f>
        <v/>
      </c>
    </row>
    <row r="19" ht="15.75" customHeight="1" s="452" thickBot="1"/>
    <row r="20" ht="15.75" customHeight="1" s="452" thickBot="1">
      <c r="B20" s="455" t="inlineStr">
        <is>
          <t>3. Tutarlılık analizi</t>
        </is>
      </c>
      <c r="C20" s="438" t="n"/>
      <c r="D20" s="438" t="n"/>
      <c r="E20" s="439" t="n"/>
    </row>
    <row r="21">
      <c r="B21" s="422" t="inlineStr">
        <is>
          <t>λmax</t>
        </is>
      </c>
      <c r="C21" s="438" t="n"/>
      <c r="D21" s="438" t="n"/>
      <c r="E21" s="423">
        <f>C16*E14+D16*E15</f>
        <v/>
      </c>
    </row>
    <row r="22">
      <c r="B22" s="365" t="inlineStr">
        <is>
          <t>CI</t>
        </is>
      </c>
      <c r="E22" s="367">
        <f>IFERROR((E21-2)/(2-1),"")</f>
        <v/>
      </c>
    </row>
    <row r="23">
      <c r="B23" s="365" t="inlineStr">
        <is>
          <t>RI (n=2)</t>
        </is>
      </c>
      <c r="E23" s="367" t="n">
        <v>0</v>
      </c>
    </row>
    <row r="24">
      <c r="B24" s="365" t="inlineStr">
        <is>
          <t>CR</t>
        </is>
      </c>
      <c r="E24" s="367" t="inlineStr">
        <is>
          <t>Uygulanamaz</t>
        </is>
      </c>
    </row>
    <row r="25" ht="15.75" customHeight="1" s="452" thickBot="1">
      <c r="B25" s="368" t="inlineStr">
        <is>
          <t>Karar</t>
        </is>
      </c>
      <c r="C25" s="369" t="n"/>
      <c r="D25" s="369" t="n"/>
      <c r="E25" s="370" t="inlineStr">
        <is>
          <t>2'li matris -Doğrudan kontrol</t>
        </is>
      </c>
    </row>
  </sheetData>
  <mergeCells count="6">
    <mergeCell ref="B2:H2"/>
    <mergeCell ref="F8:H9"/>
    <mergeCell ref="C4:H4"/>
    <mergeCell ref="B20:E20"/>
    <mergeCell ref="B12:D12"/>
    <mergeCell ref="B6:D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R45"/>
  <sheetViews>
    <sheetView showGridLines="0" workbookViewId="0">
      <pane xSplit="2" ySplit="7" topLeftCell="C33" activePane="bottomRight" state="frozen"/>
      <selection pane="topRight" activeCell="A1" sqref="A1"/>
      <selection pane="bottomLeft" activeCell="A1" sqref="A1"/>
      <selection pane="bottomRight" activeCell="B1" sqref="B1:O1048576"/>
    </sheetView>
  </sheetViews>
  <sheetFormatPr baseColWidth="8" defaultRowHeight="15"/>
  <cols>
    <col width="48" customWidth="1" style="452" min="2" max="2"/>
    <col width="18" customWidth="1" style="452" min="3" max="18"/>
  </cols>
  <sheetData>
    <row r="2" ht="18.75" customHeight="1" s="452">
      <c r="B2" s="442" t="inlineStr">
        <is>
          <t>Yönetişim → Uyum ve Politika Göstergeleri AHP</t>
        </is>
      </c>
    </row>
    <row r="4">
      <c r="B4" s="264" t="inlineStr">
        <is>
          <t>Karşılaştırma düzeyi</t>
        </is>
      </c>
      <c r="C4" t="inlineStr">
        <is>
          <t>Yönetişim → Uyum ve Politika</t>
        </is>
      </c>
    </row>
    <row r="5" ht="15.75" customHeight="1" s="452" thickBot="1"/>
    <row r="6" ht="15.75" customHeight="1" s="452" thickBot="1">
      <c r="B6" s="462" t="inlineStr">
        <is>
          <t>1. İkili karşılaştırma matrisi – sarı hücrelere giriş yapınız</t>
        </is>
      </c>
      <c r="C6" s="438" t="n"/>
      <c r="D6" s="438" t="n"/>
      <c r="E6" s="438" t="n"/>
      <c r="F6" s="438" t="n"/>
      <c r="G6" s="438" t="n"/>
      <c r="H6" s="438" t="n"/>
      <c r="I6" s="438" t="n"/>
      <c r="J6" s="438" t="n"/>
      <c r="K6" s="438" t="n"/>
      <c r="L6" s="438" t="n"/>
      <c r="M6" s="438" t="n"/>
      <c r="N6" s="439" t="n"/>
    </row>
    <row r="7" ht="75.59999999999999" customHeight="1" s="452">
      <c r="B7" s="407" t="n"/>
      <c r="C7" s="408" t="inlineStr">
        <is>
          <t>G-47 İşletme Genel Bilgileri (kuruluş tarihçesi, coğrafi konum, büyüklük, ürün çeşidi)</t>
        </is>
      </c>
      <c r="D7" s="408" t="inlineStr">
        <is>
          <t>G-48 Ürün çeşitliliği</t>
        </is>
      </c>
      <c r="E7" s="408" t="inlineStr">
        <is>
          <t>G-49 Etik</t>
        </is>
      </c>
      <c r="F7" s="408" t="inlineStr">
        <is>
          <t>G-50 Çevre ve İklim Değişikliği Strateji Belgesi</t>
        </is>
      </c>
      <c r="G7" s="408" t="inlineStr">
        <is>
          <t>G-51 Çevre Mevzuatına Uyum</t>
        </is>
      </c>
      <c r="H7" s="408" t="inlineStr">
        <is>
          <t>G-52 İş Hukuku ve Sosyal Haklara Uyum</t>
        </is>
      </c>
      <c r="I7" s="408" t="inlineStr">
        <is>
          <t>G-53 İç Kontrol Sisteminin Etkinliği</t>
        </is>
      </c>
      <c r="J7" s="408" t="inlineStr">
        <is>
          <t>G-54 Stratejik Hedeflerde sürdürülebilirlik kriterleri</t>
        </is>
      </c>
      <c r="K7" s="408" t="inlineStr">
        <is>
          <t>G-55 Şeffaflık (Raporlama)</t>
        </is>
      </c>
      <c r="L7" s="408" t="inlineStr">
        <is>
          <t>G-56 Denetlenebilirlik</t>
        </is>
      </c>
      <c r="M7" s="408" t="inlineStr">
        <is>
          <t>G-57 İç Denetimin Bağımsızlık Düzeyi</t>
        </is>
      </c>
      <c r="N7" s="409" t="inlineStr">
        <is>
          <t>G-58 Sürdürülebilirlik Denetimi geçmişi</t>
        </is>
      </c>
      <c r="P7" s="264" t="inlineStr">
        <is>
          <t>Giriş açıklaması</t>
        </is>
      </c>
    </row>
    <row r="8" ht="32.1" customHeight="1" s="452">
      <c r="B8" s="405" t="inlineStr">
        <is>
          <t>G-47 İşletme Genel Bilgileri (kuruluş tarihçesi, coğrafi konum, büyüklük, ürün çeşidi)</t>
        </is>
      </c>
      <c r="C8" s="261" t="n">
        <v>1</v>
      </c>
      <c r="D8" s="262" t="n">
        <v>6</v>
      </c>
      <c r="E8" s="262" t="n">
        <v>5</v>
      </c>
      <c r="F8" s="262" t="n">
        <v>3</v>
      </c>
      <c r="G8" s="262" t="n">
        <v>0.5</v>
      </c>
      <c r="H8" s="262">
        <f>1/3</f>
        <v/>
      </c>
      <c r="I8" s="262" t="n">
        <v>0.5</v>
      </c>
      <c r="J8" s="262" t="n">
        <v>2</v>
      </c>
      <c r="K8" s="262" t="n">
        <v>0.5</v>
      </c>
      <c r="L8" s="262" t="n">
        <v>0.5</v>
      </c>
      <c r="M8" s="262" t="n">
        <v>1</v>
      </c>
      <c r="N8" s="378" t="n">
        <v>2</v>
      </c>
      <c r="P8" s="435" t="inlineStr">
        <is>
          <t>Sarı hücrelere Saaty ölçeğinde 1–9 veya ters değerleri giriniz. Yeşil hücreler otomatik ters değerlerdir.</t>
        </is>
      </c>
    </row>
    <row r="9" ht="32.1" customHeight="1" s="452">
      <c r="B9" s="405" t="inlineStr">
        <is>
          <t>G-48 Ürün çeşitliliği</t>
        </is>
      </c>
      <c r="C9" s="263">
        <f>IFERROR(1/D8,"")</f>
        <v/>
      </c>
      <c r="D9" s="261" t="n">
        <v>1</v>
      </c>
      <c r="E9" s="262" t="n">
        <v>2</v>
      </c>
      <c r="F9" s="262" t="n">
        <v>0.2</v>
      </c>
      <c r="G9" s="262" t="n">
        <v>0.2</v>
      </c>
      <c r="H9" s="262" t="n">
        <v>0.2</v>
      </c>
      <c r="I9" s="262" t="n">
        <v>0.2</v>
      </c>
      <c r="J9" s="262">
        <f>1/3</f>
        <v/>
      </c>
      <c r="K9" s="262" t="n">
        <v>0.2</v>
      </c>
      <c r="L9" s="262" t="n">
        <v>0.2</v>
      </c>
      <c r="M9" s="262" t="n">
        <v>0.25</v>
      </c>
      <c r="N9" s="378" t="n">
        <v>0.2</v>
      </c>
    </row>
    <row r="10" ht="32.1" customHeight="1" s="452">
      <c r="B10" s="405" t="inlineStr">
        <is>
          <t>G-49 Etik</t>
        </is>
      </c>
      <c r="C10" s="263">
        <f>IFERROR(1/E8,"")</f>
        <v/>
      </c>
      <c r="D10" s="263">
        <f>IFERROR(1/E9,"")</f>
        <v/>
      </c>
      <c r="E10" s="261" t="n">
        <v>1</v>
      </c>
      <c r="F10" s="262" t="n">
        <v>0.5</v>
      </c>
      <c r="G10" s="262" t="n">
        <v>0.25</v>
      </c>
      <c r="H10" s="262" t="n">
        <v>0.25</v>
      </c>
      <c r="I10" s="262" t="n">
        <v>0.25</v>
      </c>
      <c r="J10" s="262" t="n">
        <v>0.5</v>
      </c>
      <c r="K10" s="262" t="n">
        <v>0.25</v>
      </c>
      <c r="L10" s="262" t="n">
        <v>0.25</v>
      </c>
      <c r="M10" s="262">
        <f>1/3</f>
        <v/>
      </c>
      <c r="N10" s="378" t="n">
        <v>0.25</v>
      </c>
    </row>
    <row r="11" ht="32.1" customHeight="1" s="452">
      <c r="B11" s="405" t="inlineStr">
        <is>
          <t>G-50 Çevre ve İklim Değişikliği Strateji Belgesi</t>
        </is>
      </c>
      <c r="C11" s="263">
        <f>IFERROR(1/F8,"")</f>
        <v/>
      </c>
      <c r="D11" s="263">
        <f>IFERROR(1/F9,"")</f>
        <v/>
      </c>
      <c r="E11" s="263">
        <f>IFERROR(1/F10,"")</f>
        <v/>
      </c>
      <c r="F11" s="261" t="n">
        <v>1</v>
      </c>
      <c r="G11" s="262">
        <f>1/3</f>
        <v/>
      </c>
      <c r="H11" s="262" t="n">
        <v>0.25</v>
      </c>
      <c r="I11" s="262" t="n">
        <v>0.5</v>
      </c>
      <c r="J11" s="262" t="n">
        <v>3</v>
      </c>
      <c r="K11" s="262">
        <f>1/3</f>
        <v/>
      </c>
      <c r="L11" s="262" t="n">
        <v>0.25</v>
      </c>
      <c r="M11" s="262" t="n">
        <v>0.5</v>
      </c>
      <c r="N11" s="378" t="n">
        <v>0.5</v>
      </c>
    </row>
    <row r="12" ht="32.1" customHeight="1" s="452">
      <c r="B12" s="405" t="inlineStr">
        <is>
          <t>G-51 Çevre Mevzuatına Uyum</t>
        </is>
      </c>
      <c r="C12" s="263">
        <f>IFERROR(1/G8,"")</f>
        <v/>
      </c>
      <c r="D12" s="263">
        <f>IFERROR(1/G9,"")</f>
        <v/>
      </c>
      <c r="E12" s="263">
        <f>IFERROR(1/G10,"")</f>
        <v/>
      </c>
      <c r="F12" s="263">
        <f>IFERROR(1/G11,"")</f>
        <v/>
      </c>
      <c r="G12" s="261" t="n">
        <v>1</v>
      </c>
      <c r="H12" s="262" t="n">
        <v>1</v>
      </c>
      <c r="I12" s="262" t="n">
        <v>3</v>
      </c>
      <c r="J12" s="262" t="n">
        <v>5</v>
      </c>
      <c r="K12" s="262" t="n">
        <v>3</v>
      </c>
      <c r="L12" s="262" t="n">
        <v>1</v>
      </c>
      <c r="M12" s="262" t="n">
        <v>3</v>
      </c>
      <c r="N12" s="378" t="n">
        <v>4</v>
      </c>
    </row>
    <row r="13" ht="32.1" customHeight="1" s="452">
      <c r="B13" s="405" t="inlineStr">
        <is>
          <t>G-52 İş Hukuku ve Sosyal Haklara Uyum</t>
        </is>
      </c>
      <c r="C13" s="263">
        <f>IFERROR(1/H8,"")</f>
        <v/>
      </c>
      <c r="D13" s="263">
        <f>IFERROR(1/H9,"")</f>
        <v/>
      </c>
      <c r="E13" s="263">
        <f>IFERROR(1/H10,"")</f>
        <v/>
      </c>
      <c r="F13" s="263">
        <f>IFERROR(1/H11,"")</f>
        <v/>
      </c>
      <c r="G13" s="263">
        <f>IFERROR(1/H12,"")</f>
        <v/>
      </c>
      <c r="H13" s="261" t="n">
        <v>1</v>
      </c>
      <c r="I13" s="262" t="n">
        <v>3</v>
      </c>
      <c r="J13" s="262" t="n">
        <v>6</v>
      </c>
      <c r="K13" s="262" t="n">
        <v>3</v>
      </c>
      <c r="L13" s="262" t="n">
        <v>1</v>
      </c>
      <c r="M13" s="262" t="n">
        <v>3</v>
      </c>
      <c r="N13" s="378" t="n">
        <v>4</v>
      </c>
    </row>
    <row r="14" ht="32.1" customHeight="1" s="452">
      <c r="B14" s="405" t="inlineStr">
        <is>
          <t>G-53 İç Kontrol Sisteminin Etkinliği</t>
        </is>
      </c>
      <c r="C14" s="263">
        <f>IFERROR(1/I8,"")</f>
        <v/>
      </c>
      <c r="D14" s="263">
        <f>IFERROR(1/I9,"")</f>
        <v/>
      </c>
      <c r="E14" s="263">
        <f>IFERROR(1/I10,"")</f>
        <v/>
      </c>
      <c r="F14" s="263">
        <f>IFERROR(1/I11,"")</f>
        <v/>
      </c>
      <c r="G14" s="263">
        <f>IFERROR(1/I12,"")</f>
        <v/>
      </c>
      <c r="H14" s="263">
        <f>IFERROR(1/I13,"")</f>
        <v/>
      </c>
      <c r="I14" s="261" t="n">
        <v>1</v>
      </c>
      <c r="J14" s="262" t="n">
        <v>4</v>
      </c>
      <c r="K14" s="262" t="n">
        <v>0.5</v>
      </c>
      <c r="L14" s="262" t="n">
        <v>0.5</v>
      </c>
      <c r="M14" s="262" t="n">
        <v>2</v>
      </c>
      <c r="N14" s="378" t="n">
        <v>2</v>
      </c>
    </row>
    <row r="15" ht="32.1" customHeight="1" s="452">
      <c r="B15" s="405" t="inlineStr">
        <is>
          <t>G-54 Stratejik Hedeflerde sürdürülebilirlik kriterleri</t>
        </is>
      </c>
      <c r="C15" s="263">
        <f>IFERROR(1/J8,"")</f>
        <v/>
      </c>
      <c r="D15" s="263">
        <f>IFERROR(1/J9,"")</f>
        <v/>
      </c>
      <c r="E15" s="263">
        <f>IFERROR(1/J10,"")</f>
        <v/>
      </c>
      <c r="F15" s="263">
        <f>IFERROR(1/J11,"")</f>
        <v/>
      </c>
      <c r="G15" s="263">
        <f>IFERROR(1/J12,"")</f>
        <v/>
      </c>
      <c r="H15" s="263">
        <f>IFERROR(1/J13,"")</f>
        <v/>
      </c>
      <c r="I15" s="263">
        <f>IFERROR(1/J14,"")</f>
        <v/>
      </c>
      <c r="J15" s="261" t="n">
        <v>1</v>
      </c>
      <c r="K15" s="262">
        <f>1/3</f>
        <v/>
      </c>
      <c r="L15" s="262">
        <f>1/3</f>
        <v/>
      </c>
      <c r="M15" s="262" t="n">
        <v>0.5</v>
      </c>
      <c r="N15" s="378" t="n">
        <v>0.5</v>
      </c>
    </row>
    <row r="16" ht="32.1" customHeight="1" s="452">
      <c r="B16" s="405" t="inlineStr">
        <is>
          <t>G-55 Şeffaflık (Raporlama)</t>
        </is>
      </c>
      <c r="C16" s="263">
        <f>IFERROR(1/K8,"")</f>
        <v/>
      </c>
      <c r="D16" s="263">
        <f>IFERROR(1/K9,"")</f>
        <v/>
      </c>
      <c r="E16" s="263">
        <f>IFERROR(1/K10,"")</f>
        <v/>
      </c>
      <c r="F16" s="263">
        <f>IFERROR(1/K11,"")</f>
        <v/>
      </c>
      <c r="G16" s="263">
        <f>IFERROR(1/K12,"")</f>
        <v/>
      </c>
      <c r="H16" s="263">
        <f>IFERROR(1/K13,"")</f>
        <v/>
      </c>
      <c r="I16" s="263">
        <f>IFERROR(1/K14,"")</f>
        <v/>
      </c>
      <c r="J16" s="263">
        <f>IFERROR(1/K15,"")</f>
        <v/>
      </c>
      <c r="K16" s="261" t="n">
        <v>1</v>
      </c>
      <c r="L16" s="262" t="n">
        <v>0.5</v>
      </c>
      <c r="M16" s="262" t="n">
        <v>3</v>
      </c>
      <c r="N16" s="378" t="n">
        <v>4</v>
      </c>
    </row>
    <row r="17" ht="32.1" customHeight="1" s="452">
      <c r="B17" s="405" t="inlineStr">
        <is>
          <t>G-56 Denetlenebilirlik</t>
        </is>
      </c>
      <c r="C17" s="263">
        <f>IFERROR(1/L8,"")</f>
        <v/>
      </c>
      <c r="D17" s="263">
        <f>IFERROR(1/L9,"")</f>
        <v/>
      </c>
      <c r="E17" s="263">
        <f>IFERROR(1/L10,"")</f>
        <v/>
      </c>
      <c r="F17" s="263">
        <f>IFERROR(1/L11,"")</f>
        <v/>
      </c>
      <c r="G17" s="263">
        <f>IFERROR(1/L12,"")</f>
        <v/>
      </c>
      <c r="H17" s="263">
        <f>IFERROR(1/L13,"")</f>
        <v/>
      </c>
      <c r="I17" s="263">
        <f>IFERROR(1/L14,"")</f>
        <v/>
      </c>
      <c r="J17" s="263">
        <f>IFERROR(1/L15,"")</f>
        <v/>
      </c>
      <c r="K17" s="263">
        <f>IFERROR(1/L16,"")</f>
        <v/>
      </c>
      <c r="L17" s="261" t="n">
        <v>1</v>
      </c>
      <c r="M17" s="262" t="n">
        <v>4</v>
      </c>
      <c r="N17" s="378" t="n">
        <v>5</v>
      </c>
    </row>
    <row r="18" ht="32.1" customHeight="1" s="452">
      <c r="B18" s="405" t="inlineStr">
        <is>
          <t>G-57 İç Denetimin Bağımsızlık Düzeyi</t>
        </is>
      </c>
      <c r="C18" s="263">
        <f>IFERROR(1/M8,"")</f>
        <v/>
      </c>
      <c r="D18" s="263">
        <f>IFERROR(1/M9,"")</f>
        <v/>
      </c>
      <c r="E18" s="263">
        <f>IFERROR(1/M10,"")</f>
        <v/>
      </c>
      <c r="F18" s="263">
        <f>IFERROR(1/M11,"")</f>
        <v/>
      </c>
      <c r="G18" s="263">
        <f>IFERROR(1/M12,"")</f>
        <v/>
      </c>
      <c r="H18" s="263">
        <f>IFERROR(1/M13,"")</f>
        <v/>
      </c>
      <c r="I18" s="263">
        <f>IFERROR(1/M14,"")</f>
        <v/>
      </c>
      <c r="J18" s="263">
        <f>IFERROR(1/M15,"")</f>
        <v/>
      </c>
      <c r="K18" s="263">
        <f>IFERROR(1/M16,"")</f>
        <v/>
      </c>
      <c r="L18" s="263">
        <f>IFERROR(1/M17,"")</f>
        <v/>
      </c>
      <c r="M18" s="261" t="n">
        <v>1</v>
      </c>
      <c r="N18" s="378" t="n">
        <v>2</v>
      </c>
    </row>
    <row r="19" ht="32.1" customHeight="1" s="452" thickBot="1">
      <c r="B19" s="406" t="inlineStr">
        <is>
          <t>G-58 Sürdürülebilirlik Denetimi geçmişi</t>
        </is>
      </c>
      <c r="C19" s="380">
        <f>IFERROR(1/N8,"")</f>
        <v/>
      </c>
      <c r="D19" s="380">
        <f>IFERROR(1/N9,"")</f>
        <v/>
      </c>
      <c r="E19" s="380">
        <f>IFERROR(1/N10,"")</f>
        <v/>
      </c>
      <c r="F19" s="380">
        <f>IFERROR(1/N11,"")</f>
        <v/>
      </c>
      <c r="G19" s="380">
        <f>IFERROR(1/N12,"")</f>
        <v/>
      </c>
      <c r="H19" s="380">
        <f>IFERROR(1/N13,"")</f>
        <v/>
      </c>
      <c r="I19" s="380">
        <f>IFERROR(1/N14,"")</f>
        <v/>
      </c>
      <c r="J19" s="380">
        <f>IFERROR(1/N15,"")</f>
        <v/>
      </c>
      <c r="K19" s="380">
        <f>IFERROR(1/N16,"")</f>
        <v/>
      </c>
      <c r="L19" s="380">
        <f>IFERROR(1/N17,"")</f>
        <v/>
      </c>
      <c r="M19" s="380">
        <f>IFERROR(1/N18,"")</f>
        <v/>
      </c>
      <c r="N19" s="381" t="n">
        <v>1</v>
      </c>
    </row>
    <row r="21" ht="15.75" customHeight="1" s="452" thickBot="1"/>
    <row r="22" ht="15.75" customHeight="1" s="452" thickBot="1">
      <c r="B22" s="441" t="inlineStr">
        <is>
          <t>2. Normalize matris ve yerel ağırlıklar</t>
        </is>
      </c>
      <c r="C22" s="438" t="n"/>
      <c r="D22" s="438" t="n"/>
      <c r="E22" s="438" t="n"/>
      <c r="F22" s="438" t="n"/>
      <c r="G22" s="438" t="n"/>
      <c r="H22" s="438" t="n"/>
      <c r="I22" s="438" t="n"/>
      <c r="J22" s="438" t="n"/>
      <c r="K22" s="438" t="n"/>
      <c r="L22" s="438" t="n"/>
      <c r="M22" s="438" t="n"/>
      <c r="N22" s="438" t="n"/>
      <c r="O22" s="413" t="n"/>
    </row>
    <row r="23" ht="90" customHeight="1" s="452">
      <c r="B23" s="424" t="n"/>
      <c r="C23" s="410" t="inlineStr">
        <is>
          <t>G-47 İşletme Genel Bilgileri (kuruluş tarihçesi, coğrafi konum, büyüklük, ürün çeşidi)</t>
        </is>
      </c>
      <c r="D23" s="410" t="inlineStr">
        <is>
          <t>G-48 Ürün çeşitliliği</t>
        </is>
      </c>
      <c r="E23" s="410" t="inlineStr">
        <is>
          <t>G-49 Etik</t>
        </is>
      </c>
      <c r="F23" s="410" t="inlineStr">
        <is>
          <t>G-50 Çevre ve İklim Değişikliği Strateji Belgesi</t>
        </is>
      </c>
      <c r="G23" s="410" t="inlineStr">
        <is>
          <t>G-51 Çevre Mevzuatına Uyum</t>
        </is>
      </c>
      <c r="H23" s="410" t="inlineStr">
        <is>
          <t>G-52 İş Hukuku ve Sosyal Haklara Uyum</t>
        </is>
      </c>
      <c r="I23" s="410" t="inlineStr">
        <is>
          <t>G-53 İç Kontrol Sisteminin Etkinliği</t>
        </is>
      </c>
      <c r="J23" s="410" t="inlineStr">
        <is>
          <t>G-54 Stratejik Hedeflerde sürdürülebilirlik kriterleri</t>
        </is>
      </c>
      <c r="K23" s="410" t="inlineStr">
        <is>
          <t>G-55 Şeffaflık (Raporlama)</t>
        </is>
      </c>
      <c r="L23" s="410" t="inlineStr">
        <is>
          <t>G-56 Denetlenebilirlik</t>
        </is>
      </c>
      <c r="M23" s="410" t="inlineStr">
        <is>
          <t>G-57 İç Denetimin Bağımsızlık Düzeyi</t>
        </is>
      </c>
      <c r="N23" s="410" t="inlineStr">
        <is>
          <t>G-58 Sürdürülebilirlik Denetimi geçmişi</t>
        </is>
      </c>
      <c r="O23" s="411" t="inlineStr">
        <is>
          <t>Yerel ağırlık</t>
        </is>
      </c>
    </row>
    <row r="24" ht="30" customHeight="1" s="452">
      <c r="B24" s="405" t="inlineStr">
        <is>
          <t>G-47 İşletme Genel Bilgileri (kuruluş tarihçesi, coğrafi konum, büyüklük, ürün çeşidi)</t>
        </is>
      </c>
      <c r="C24" s="244">
        <f>IFERROR(C8/C$36,"")</f>
        <v/>
      </c>
      <c r="D24" s="244">
        <f>IFERROR(D8/D$36,"")</f>
        <v/>
      </c>
      <c r="E24" s="244">
        <f>IFERROR(E8/E$36,"")</f>
        <v/>
      </c>
      <c r="F24" s="244">
        <f>IFERROR(F8/F$36,"")</f>
        <v/>
      </c>
      <c r="G24" s="244">
        <f>IFERROR(G8/G$36,"")</f>
        <v/>
      </c>
      <c r="H24" s="244">
        <f>IFERROR(H8/H$36,"")</f>
        <v/>
      </c>
      <c r="I24" s="244">
        <f>IFERROR(I8/I$36,"")</f>
        <v/>
      </c>
      <c r="J24" s="244">
        <f>IFERROR(J8/J$36,"")</f>
        <v/>
      </c>
      <c r="K24" s="244">
        <f>IFERROR(K8/K$36,"")</f>
        <v/>
      </c>
      <c r="L24" s="244">
        <f>IFERROR(L8/L$36,"")</f>
        <v/>
      </c>
      <c r="M24" s="244">
        <f>IFERROR(M8/M$36,"")</f>
        <v/>
      </c>
      <c r="N24" s="244">
        <f>IFERROR(N8/N$36,"")</f>
        <v/>
      </c>
      <c r="O24" s="349">
        <f>IFERROR(AVERAGE(C24:N24),"")</f>
        <v/>
      </c>
    </row>
    <row r="25">
      <c r="B25" s="405" t="inlineStr">
        <is>
          <t>G-48 Ürün çeşitliliği</t>
        </is>
      </c>
      <c r="C25" s="244">
        <f>IFERROR(C9/C$36,"")</f>
        <v/>
      </c>
      <c r="D25" s="244">
        <f>IFERROR(D9/D$36,"")</f>
        <v/>
      </c>
      <c r="E25" s="244">
        <f>IFERROR(E9/E$36,"")</f>
        <v/>
      </c>
      <c r="F25" s="244">
        <f>IFERROR(F9/F$36,"")</f>
        <v/>
      </c>
      <c r="G25" s="244">
        <f>IFERROR(G9/G$36,"")</f>
        <v/>
      </c>
      <c r="H25" s="244">
        <f>IFERROR(H9/H$36,"")</f>
        <v/>
      </c>
      <c r="I25" s="244">
        <f>IFERROR(I9/I$36,"")</f>
        <v/>
      </c>
      <c r="J25" s="244">
        <f>IFERROR(J9/J$36,"")</f>
        <v/>
      </c>
      <c r="K25" s="244">
        <f>IFERROR(K9/K$36,"")</f>
        <v/>
      </c>
      <c r="L25" s="244">
        <f>IFERROR(L9/L$36,"")</f>
        <v/>
      </c>
      <c r="M25" s="244">
        <f>IFERROR(M9/M$36,"")</f>
        <v/>
      </c>
      <c r="N25" s="244">
        <f>IFERROR(N9/N$36,"")</f>
        <v/>
      </c>
      <c r="O25" s="349">
        <f>IFERROR(AVERAGE(C25:N25),"")</f>
        <v/>
      </c>
    </row>
    <row r="26">
      <c r="B26" s="405" t="inlineStr">
        <is>
          <t>G-49 Etik</t>
        </is>
      </c>
      <c r="C26" s="244">
        <f>IFERROR(C10/C$36,"")</f>
        <v/>
      </c>
      <c r="D26" s="244">
        <f>IFERROR(D10/D$36,"")</f>
        <v/>
      </c>
      <c r="E26" s="244">
        <f>IFERROR(E10/E$36,"")</f>
        <v/>
      </c>
      <c r="F26" s="244">
        <f>IFERROR(F10/F$36,"")</f>
        <v/>
      </c>
      <c r="G26" s="244">
        <f>IFERROR(G10/G$36,"")</f>
        <v/>
      </c>
      <c r="H26" s="244">
        <f>IFERROR(H10/H$36,"")</f>
        <v/>
      </c>
      <c r="I26" s="244">
        <f>IFERROR(I10/I$36,"")</f>
        <v/>
      </c>
      <c r="J26" s="244">
        <f>IFERROR(J10/J$36,"")</f>
        <v/>
      </c>
      <c r="K26" s="244">
        <f>IFERROR(K10/K$36,"")</f>
        <v/>
      </c>
      <c r="L26" s="244">
        <f>IFERROR(L10/L$36,"")</f>
        <v/>
      </c>
      <c r="M26" s="244">
        <f>IFERROR(M10/M$36,"")</f>
        <v/>
      </c>
      <c r="N26" s="244">
        <f>IFERROR(N10/N$36,"")</f>
        <v/>
      </c>
      <c r="O26" s="349">
        <f>IFERROR(AVERAGE(C26:N26),"")</f>
        <v/>
      </c>
    </row>
    <row r="27">
      <c r="B27" s="405" t="inlineStr">
        <is>
          <t>G-50 Çevre ve İklim Değişikliği Strateji Belgesi</t>
        </is>
      </c>
      <c r="C27" s="244">
        <f>IFERROR(C11/C$36,"")</f>
        <v/>
      </c>
      <c r="D27" s="244">
        <f>IFERROR(D11/D$36,"")</f>
        <v/>
      </c>
      <c r="E27" s="244">
        <f>IFERROR(E11/E$36,"")</f>
        <v/>
      </c>
      <c r="F27" s="244">
        <f>IFERROR(F11/F$36,"")</f>
        <v/>
      </c>
      <c r="G27" s="244">
        <f>IFERROR(G11/G$36,"")</f>
        <v/>
      </c>
      <c r="H27" s="244">
        <f>IFERROR(H11/H$36,"")</f>
        <v/>
      </c>
      <c r="I27" s="244">
        <f>IFERROR(I11/I$36,"")</f>
        <v/>
      </c>
      <c r="J27" s="244">
        <f>IFERROR(J11/J$36,"")</f>
        <v/>
      </c>
      <c r="K27" s="244">
        <f>IFERROR(K11/K$36,"")</f>
        <v/>
      </c>
      <c r="L27" s="244">
        <f>IFERROR(L11/L$36,"")</f>
        <v/>
      </c>
      <c r="M27" s="244">
        <f>IFERROR(M11/M$36,"")</f>
        <v/>
      </c>
      <c r="N27" s="244">
        <f>IFERROR(N11/N$36,"")</f>
        <v/>
      </c>
      <c r="O27" s="349">
        <f>IFERROR(AVERAGE(C27:N27),"")</f>
        <v/>
      </c>
    </row>
    <row r="28">
      <c r="B28" s="405" t="inlineStr">
        <is>
          <t>G-51 Çevre Mevzuatına Uyum</t>
        </is>
      </c>
      <c r="C28" s="244">
        <f>IFERROR(C12/C$36,"")</f>
        <v/>
      </c>
      <c r="D28" s="244">
        <f>IFERROR(D12/D$36,"")</f>
        <v/>
      </c>
      <c r="E28" s="244">
        <f>IFERROR(E12/E$36,"")</f>
        <v/>
      </c>
      <c r="F28" s="244">
        <f>IFERROR(F12/F$36,"")</f>
        <v/>
      </c>
      <c r="G28" s="244">
        <f>IFERROR(G12/G$36,"")</f>
        <v/>
      </c>
      <c r="H28" s="244">
        <f>IFERROR(H12/H$36,"")</f>
        <v/>
      </c>
      <c r="I28" s="244">
        <f>IFERROR(I12/I$36,"")</f>
        <v/>
      </c>
      <c r="J28" s="244">
        <f>IFERROR(J12/J$36,"")</f>
        <v/>
      </c>
      <c r="K28" s="244">
        <f>IFERROR(K12/K$36,"")</f>
        <v/>
      </c>
      <c r="L28" s="244">
        <f>IFERROR(L12/L$36,"")</f>
        <v/>
      </c>
      <c r="M28" s="244">
        <f>IFERROR(M12/M$36,"")</f>
        <v/>
      </c>
      <c r="N28" s="244">
        <f>IFERROR(N12/N$36,"")</f>
        <v/>
      </c>
      <c r="O28" s="349">
        <f>IFERROR(AVERAGE(C28:N28),"")</f>
        <v/>
      </c>
    </row>
    <row r="29">
      <c r="B29" s="405" t="inlineStr">
        <is>
          <t>G-52 İş Hukuku ve Sosyal Haklara Uyum</t>
        </is>
      </c>
      <c r="C29" s="244">
        <f>IFERROR(C13/C$36,"")</f>
        <v/>
      </c>
      <c r="D29" s="244">
        <f>IFERROR(D13/D$36,"")</f>
        <v/>
      </c>
      <c r="E29" s="244">
        <f>IFERROR(E13/E$36,"")</f>
        <v/>
      </c>
      <c r="F29" s="244">
        <f>IFERROR(F13/F$36,"")</f>
        <v/>
      </c>
      <c r="G29" s="244">
        <f>IFERROR(G13/G$36,"")</f>
        <v/>
      </c>
      <c r="H29" s="244">
        <f>IFERROR(H13/H$36,"")</f>
        <v/>
      </c>
      <c r="I29" s="244">
        <f>IFERROR(I13/I$36,"")</f>
        <v/>
      </c>
      <c r="J29" s="244">
        <f>IFERROR(J13/J$36,"")</f>
        <v/>
      </c>
      <c r="K29" s="244">
        <f>IFERROR(K13/K$36,"")</f>
        <v/>
      </c>
      <c r="L29" s="244">
        <f>IFERROR(L13/L$36,"")</f>
        <v/>
      </c>
      <c r="M29" s="244">
        <f>IFERROR(M13/M$36,"")</f>
        <v/>
      </c>
      <c r="N29" s="244">
        <f>IFERROR(N13/N$36,"")</f>
        <v/>
      </c>
      <c r="O29" s="349">
        <f>IFERROR(AVERAGE(C29:N29),"")</f>
        <v/>
      </c>
    </row>
    <row r="30">
      <c r="B30" s="405" t="inlineStr">
        <is>
          <t>G-53 İç Kontrol Sisteminin Etkinliği</t>
        </is>
      </c>
      <c r="C30" s="244">
        <f>IFERROR(C14/C$36,"")</f>
        <v/>
      </c>
      <c r="D30" s="244">
        <f>IFERROR(D14/D$36,"")</f>
        <v/>
      </c>
      <c r="E30" s="244">
        <f>IFERROR(E14/E$36,"")</f>
        <v/>
      </c>
      <c r="F30" s="244">
        <f>IFERROR(F14/F$36,"")</f>
        <v/>
      </c>
      <c r="G30" s="244">
        <f>IFERROR(G14/G$36,"")</f>
        <v/>
      </c>
      <c r="H30" s="244">
        <f>IFERROR(H14/H$36,"")</f>
        <v/>
      </c>
      <c r="I30" s="244">
        <f>IFERROR(I14/I$36,"")</f>
        <v/>
      </c>
      <c r="J30" s="244">
        <f>IFERROR(J14/J$36,"")</f>
        <v/>
      </c>
      <c r="K30" s="244">
        <f>IFERROR(K14/K$36,"")</f>
        <v/>
      </c>
      <c r="L30" s="244">
        <f>IFERROR(L14/L$36,"")</f>
        <v/>
      </c>
      <c r="M30" s="244">
        <f>IFERROR(M14/M$36,"")</f>
        <v/>
      </c>
      <c r="N30" s="244">
        <f>IFERROR(N14/N$36,"")</f>
        <v/>
      </c>
      <c r="O30" s="349">
        <f>IFERROR(AVERAGE(C30:N30),"")</f>
        <v/>
      </c>
    </row>
    <row r="31">
      <c r="B31" s="405" t="inlineStr">
        <is>
          <t>G-54 Stratejik Hedeflerde sürdürülebilirlik kriterleri</t>
        </is>
      </c>
      <c r="C31" s="244">
        <f>IFERROR(C15/C$36,"")</f>
        <v/>
      </c>
      <c r="D31" s="244">
        <f>IFERROR(D15/D$36,"")</f>
        <v/>
      </c>
      <c r="E31" s="244">
        <f>IFERROR(E15/E$36,"")</f>
        <v/>
      </c>
      <c r="F31" s="244">
        <f>IFERROR(F15/F$36,"")</f>
        <v/>
      </c>
      <c r="G31" s="244">
        <f>IFERROR(G15/G$36,"")</f>
        <v/>
      </c>
      <c r="H31" s="244">
        <f>IFERROR(H15/H$36,"")</f>
        <v/>
      </c>
      <c r="I31" s="244">
        <f>IFERROR(I15/I$36,"")</f>
        <v/>
      </c>
      <c r="J31" s="244">
        <f>IFERROR(J15/J$36,"")</f>
        <v/>
      </c>
      <c r="K31" s="244">
        <f>IFERROR(K15/K$36,"")</f>
        <v/>
      </c>
      <c r="L31" s="244">
        <f>IFERROR(L15/L$36,"")</f>
        <v/>
      </c>
      <c r="M31" s="244">
        <f>IFERROR(M15/M$36,"")</f>
        <v/>
      </c>
      <c r="N31" s="244">
        <f>IFERROR(N15/N$36,"")</f>
        <v/>
      </c>
      <c r="O31" s="349">
        <f>IFERROR(AVERAGE(C31:N31),"")</f>
        <v/>
      </c>
    </row>
    <row r="32">
      <c r="B32" s="405" t="inlineStr">
        <is>
          <t>G-55 Şeffaflık (Raporlama)</t>
        </is>
      </c>
      <c r="C32" s="244">
        <f>IFERROR(C16/C$36,"")</f>
        <v/>
      </c>
      <c r="D32" s="244">
        <f>IFERROR(D16/D$36,"")</f>
        <v/>
      </c>
      <c r="E32" s="244">
        <f>IFERROR(E16/E$36,"")</f>
        <v/>
      </c>
      <c r="F32" s="244">
        <f>IFERROR(F16/F$36,"")</f>
        <v/>
      </c>
      <c r="G32" s="244">
        <f>IFERROR(G16/G$36,"")</f>
        <v/>
      </c>
      <c r="H32" s="244">
        <f>IFERROR(H16/H$36,"")</f>
        <v/>
      </c>
      <c r="I32" s="244">
        <f>IFERROR(I16/I$36,"")</f>
        <v/>
      </c>
      <c r="J32" s="244">
        <f>IFERROR(J16/J$36,"")</f>
        <v/>
      </c>
      <c r="K32" s="244">
        <f>IFERROR(K16/K$36,"")</f>
        <v/>
      </c>
      <c r="L32" s="244">
        <f>IFERROR(L16/L$36,"")</f>
        <v/>
      </c>
      <c r="M32" s="244">
        <f>IFERROR(M16/M$36,"")</f>
        <v/>
      </c>
      <c r="N32" s="244">
        <f>IFERROR(N16/N$36,"")</f>
        <v/>
      </c>
      <c r="O32" s="349">
        <f>IFERROR(AVERAGE(C32:N32),"")</f>
        <v/>
      </c>
    </row>
    <row r="33">
      <c r="B33" s="405" t="inlineStr">
        <is>
          <t>G-56 Denetlenebilirlik</t>
        </is>
      </c>
      <c r="C33" s="244">
        <f>IFERROR(C17/C$36,"")</f>
        <v/>
      </c>
      <c r="D33" s="244">
        <f>IFERROR(D17/D$36,"")</f>
        <v/>
      </c>
      <c r="E33" s="244">
        <f>IFERROR(E17/E$36,"")</f>
        <v/>
      </c>
      <c r="F33" s="244">
        <f>IFERROR(F17/F$36,"")</f>
        <v/>
      </c>
      <c r="G33" s="244">
        <f>IFERROR(G17/G$36,"")</f>
        <v/>
      </c>
      <c r="H33" s="244">
        <f>IFERROR(H17/H$36,"")</f>
        <v/>
      </c>
      <c r="I33" s="244">
        <f>IFERROR(I17/I$36,"")</f>
        <v/>
      </c>
      <c r="J33" s="244">
        <f>IFERROR(J17/J$36,"")</f>
        <v/>
      </c>
      <c r="K33" s="244">
        <f>IFERROR(K17/K$36,"")</f>
        <v/>
      </c>
      <c r="L33" s="244">
        <f>IFERROR(L17/L$36,"")</f>
        <v/>
      </c>
      <c r="M33" s="244">
        <f>IFERROR(M17/M$36,"")</f>
        <v/>
      </c>
      <c r="N33" s="244">
        <f>IFERROR(N17/N$36,"")</f>
        <v/>
      </c>
      <c r="O33" s="349">
        <f>IFERROR(AVERAGE(C33:N33),"")</f>
        <v/>
      </c>
    </row>
    <row r="34">
      <c r="B34" s="405" t="inlineStr">
        <is>
          <t>G-57 İç Denetimin Bağımsızlık Düzeyi</t>
        </is>
      </c>
      <c r="C34" s="244">
        <f>IFERROR(C18/C$36,"")</f>
        <v/>
      </c>
      <c r="D34" s="244">
        <f>IFERROR(D18/D$36,"")</f>
        <v/>
      </c>
      <c r="E34" s="244">
        <f>IFERROR(E18/E$36,"")</f>
        <v/>
      </c>
      <c r="F34" s="244">
        <f>IFERROR(F18/F$36,"")</f>
        <v/>
      </c>
      <c r="G34" s="244">
        <f>IFERROR(G18/G$36,"")</f>
        <v/>
      </c>
      <c r="H34" s="244">
        <f>IFERROR(H18/H$36,"")</f>
        <v/>
      </c>
      <c r="I34" s="244">
        <f>IFERROR(I18/I$36,"")</f>
        <v/>
      </c>
      <c r="J34" s="244">
        <f>IFERROR(J18/J$36,"")</f>
        <v/>
      </c>
      <c r="K34" s="244">
        <f>IFERROR(K18/K$36,"")</f>
        <v/>
      </c>
      <c r="L34" s="244">
        <f>IFERROR(L18/L$36,"")</f>
        <v/>
      </c>
      <c r="M34" s="244">
        <f>IFERROR(M18/M$36,"")</f>
        <v/>
      </c>
      <c r="N34" s="244">
        <f>IFERROR(N18/N$36,"")</f>
        <v/>
      </c>
      <c r="O34" s="349">
        <f>IFERROR(AVERAGE(C34:N34),"")</f>
        <v/>
      </c>
    </row>
    <row r="35">
      <c r="B35" s="405" t="inlineStr">
        <is>
          <t>G-58 Sürdürülebilirlik Denetimi geçmişi</t>
        </is>
      </c>
      <c r="C35" s="244">
        <f>IFERROR(C19/C$36,"")</f>
        <v/>
      </c>
      <c r="D35" s="244">
        <f>IFERROR(D19/D$36,"")</f>
        <v/>
      </c>
      <c r="E35" s="244">
        <f>IFERROR(E19/E$36,"")</f>
        <v/>
      </c>
      <c r="F35" s="244">
        <f>IFERROR(F19/F$36,"")</f>
        <v/>
      </c>
      <c r="G35" s="244">
        <f>IFERROR(G19/G$36,"")</f>
        <v/>
      </c>
      <c r="H35" s="244">
        <f>IFERROR(H19/H$36,"")</f>
        <v/>
      </c>
      <c r="I35" s="244">
        <f>IFERROR(I19/I$36,"")</f>
        <v/>
      </c>
      <c r="J35" s="244">
        <f>IFERROR(J19/J$36,"")</f>
        <v/>
      </c>
      <c r="K35" s="244">
        <f>IFERROR(K19/K$36,"")</f>
        <v/>
      </c>
      <c r="L35" s="244">
        <f>IFERROR(L19/L$36,"")</f>
        <v/>
      </c>
      <c r="M35" s="244">
        <f>IFERROR(M19/M$36,"")</f>
        <v/>
      </c>
      <c r="N35" s="244">
        <f>IFERROR(N19/N$36,"")</f>
        <v/>
      </c>
      <c r="O35" s="349">
        <f>IFERROR(AVERAGE(C35:N35),"")</f>
        <v/>
      </c>
    </row>
    <row r="36">
      <c r="B36" s="412" t="inlineStr">
        <is>
          <t>Sütun toplamı</t>
        </is>
      </c>
      <c r="C36" s="247">
        <f>SUM(C8:C19)</f>
        <v/>
      </c>
      <c r="D36" s="247">
        <f>SUM(D8:D19)</f>
        <v/>
      </c>
      <c r="E36" s="247">
        <f>SUM(E8:E19)</f>
        <v/>
      </c>
      <c r="F36" s="247">
        <f>SUM(F8:F19)</f>
        <v/>
      </c>
      <c r="G36" s="247">
        <f>SUM(G8:G19)</f>
        <v/>
      </c>
      <c r="H36" s="247">
        <f>SUM(H8:H19)</f>
        <v/>
      </c>
      <c r="I36" s="247">
        <f>SUM(I8:I19)</f>
        <v/>
      </c>
      <c r="J36" s="247">
        <f>SUM(J8:J19)</f>
        <v/>
      </c>
      <c r="K36" s="247">
        <f>SUM(K8:K19)</f>
        <v/>
      </c>
      <c r="L36" s="247">
        <f>SUM(L8:L19)</f>
        <v/>
      </c>
      <c r="M36" s="247">
        <f>SUM(M8:M19)</f>
        <v/>
      </c>
      <c r="N36" s="247">
        <f>SUM(N8:N19)</f>
        <v/>
      </c>
      <c r="O36" s="355" t="n"/>
    </row>
    <row r="37" hidden="1" s="452">
      <c r="B37" s="354" t="n"/>
      <c r="O37" s="355" t="n"/>
    </row>
    <row r="38" ht="15.75" customHeight="1" s="452" thickBot="1">
      <c r="B38" s="459" t="inlineStr">
        <is>
          <t>Ağırlık toplamı</t>
        </is>
      </c>
      <c r="C38" s="456" t="n"/>
      <c r="D38" s="456" t="n"/>
      <c r="E38" s="456" t="n"/>
      <c r="F38" s="456" t="n"/>
      <c r="G38" s="456" t="n"/>
      <c r="H38" s="456" t="n"/>
      <c r="I38" s="456" t="n"/>
      <c r="J38" s="456" t="n"/>
      <c r="K38" s="456" t="n"/>
      <c r="L38" s="456" t="n"/>
      <c r="M38" s="456" t="n"/>
      <c r="N38" s="456" t="n"/>
      <c r="O38" s="456">
        <f>SUM(O24:O35)</f>
        <v/>
      </c>
    </row>
    <row r="39" ht="15.75" customHeight="1" s="452" thickBot="1"/>
    <row r="40" ht="15.75" customHeight="1" s="452" thickBot="1">
      <c r="B40" s="462" t="inlineStr">
        <is>
          <t>3. Tutarlılık analizi</t>
        </is>
      </c>
      <c r="C40" s="438" t="n"/>
      <c r="D40" s="438" t="n"/>
      <c r="E40" s="438" t="n"/>
      <c r="F40" s="438" t="n"/>
      <c r="G40" s="438" t="n"/>
      <c r="H40" s="438" t="n"/>
      <c r="I40" s="438" t="n"/>
      <c r="J40" s="438" t="n"/>
      <c r="K40" s="438" t="n"/>
      <c r="L40" s="438" t="n"/>
      <c r="M40" s="438" t="n"/>
      <c r="N40" s="438" t="n"/>
      <c r="O40" s="439" t="n"/>
    </row>
    <row r="41">
      <c r="B41" s="414" t="inlineStr">
        <is>
          <t>λmax</t>
        </is>
      </c>
      <c r="C41" s="438" t="n"/>
      <c r="D41" s="438" t="n"/>
      <c r="E41" s="438" t="n"/>
      <c r="F41" s="438" t="n"/>
      <c r="G41" s="438" t="n"/>
      <c r="H41" s="438" t="n"/>
      <c r="I41" s="438" t="n"/>
      <c r="J41" s="438" t="n"/>
      <c r="K41" s="438" t="n"/>
      <c r="L41" s="438" t="n"/>
      <c r="M41" s="438" t="n"/>
      <c r="N41" s="438" t="n"/>
      <c r="O41" s="396">
        <f>C36*O24+D36*O25+E36*O26+F36*O27+G36*O28+H36*O29+I36*O30+J36*O31+K36*O32+L36*O33+M36*O34+N36*O35</f>
        <v/>
      </c>
    </row>
    <row r="42">
      <c r="B42" s="415" t="inlineStr">
        <is>
          <t>CI</t>
        </is>
      </c>
      <c r="O42" s="367">
        <f>IFERROR((O41-12)/(12-1),"")</f>
        <v/>
      </c>
    </row>
    <row r="43">
      <c r="B43" s="415" t="inlineStr">
        <is>
          <t>RI (n=12)</t>
        </is>
      </c>
      <c r="O43" s="367" t="n">
        <v>1.49</v>
      </c>
    </row>
    <row r="44">
      <c r="B44" s="415" t="inlineStr">
        <is>
          <t>CR</t>
        </is>
      </c>
      <c r="O44" s="367">
        <f>IFERROR(O42/O43,"")</f>
        <v/>
      </c>
    </row>
    <row r="45" ht="15.75" customHeight="1" s="452" thickBot="1">
      <c r="B45" s="416" t="inlineStr">
        <is>
          <t>Karar</t>
        </is>
      </c>
      <c r="C45" s="369" t="n"/>
      <c r="D45" s="369" t="n"/>
      <c r="E45" s="369" t="n"/>
      <c r="F45" s="369" t="n"/>
      <c r="G45" s="369" t="n"/>
      <c r="H45" s="369" t="n"/>
      <c r="I45" s="369" t="n"/>
      <c r="J45" s="369" t="n"/>
      <c r="K45" s="369" t="n"/>
      <c r="L45" s="369" t="n"/>
      <c r="M45" s="369" t="n"/>
      <c r="N45" s="369" t="n"/>
      <c r="O45" s="370">
        <f>IF(COUNT(D8,E8,F8,G8,H8,I8,J8,K8,L8,M8,N8,E9,F9,G9,H9,I9,J9,K9,L9,M9,N9,F10,G10,H10,I10,J10,K10,L10,M10,N10,G11,H11,I11,J11,K11,L11,M11,N11,H12,I12,J12,K12,L12,M12,N12,I13,J13,K13,L13,M13,N13,J14,K14,L14,M14,N14,K15,L15,M15,N15,L16,M16,N16,M17,N17,N18)&lt;66,"Veri bekleniyor",IF(O44&lt;=0.1,"Tutarlı (CR ≤ 0,10)","Gözden geçirilmeli (CR &gt; 0,10)"))</f>
        <v/>
      </c>
    </row>
  </sheetData>
  <mergeCells count="6">
    <mergeCell ref="B40:O40"/>
    <mergeCell ref="P8:R19"/>
    <mergeCell ref="B22:N22"/>
    <mergeCell ref="B2:Q2"/>
    <mergeCell ref="B6:N6"/>
    <mergeCell ref="C4:Q4"/>
  </mergeCells>
  <pageMargins left="0.75" right="0.75" top="1" bottom="1" header="0.5" footer="0.5"/>
</worksheet>
</file>

<file path=xl/worksheets/sheet16.xml><?xml version="1.0" encoding="utf-8"?>
<worksheet xmlns="http://schemas.openxmlformats.org/spreadsheetml/2006/main">
  <sheetPr codeName="Sayfa33">
    <outlinePr summaryBelow="1" summaryRight="1"/>
    <pageSetUpPr/>
  </sheetPr>
  <dimension ref="B2:M35"/>
  <sheetViews>
    <sheetView showGridLines="0" workbookViewId="0">
      <pane xSplit="2" ySplit="7" topLeftCell="C23" activePane="bottomRight" state="frozen"/>
      <selection pane="topRight" activeCell="A1" sqref="A1"/>
      <selection pane="bottomLeft" activeCell="A1" sqref="A1"/>
      <selection pane="bottomRight" activeCell="J31" sqref="J31:J35"/>
    </sheetView>
  </sheetViews>
  <sheetFormatPr baseColWidth="8" defaultRowHeight="15"/>
  <cols>
    <col width="48" customWidth="1" style="452" min="2" max="2"/>
    <col width="18" customWidth="1" style="452" min="3" max="13"/>
  </cols>
  <sheetData>
    <row r="2" ht="18.75" customHeight="1" s="452">
      <c r="B2" s="436" t="inlineStr">
        <is>
          <t>Yönetişim → Tedarik Zinciri ve Risk Göstergeleri AHP</t>
        </is>
      </c>
    </row>
    <row r="4">
      <c r="B4" s="238" t="inlineStr">
        <is>
          <t>Karşılaştırma düzeyi</t>
        </is>
      </c>
      <c r="C4" t="inlineStr">
        <is>
          <t>Yönetişim → Tedarik Zinciri ve Risk</t>
        </is>
      </c>
    </row>
    <row r="5" ht="15.75" customHeight="1" s="452" thickBot="1"/>
    <row r="6" ht="15.75" customHeight="1" s="452" thickBot="1">
      <c r="B6" s="455" t="inlineStr">
        <is>
          <t>1. İkili karşılaştırma matrisi – sarı hücrelere giriş yapınız</t>
        </is>
      </c>
      <c r="C6" s="438" t="n"/>
      <c r="D6" s="438" t="n"/>
      <c r="E6" s="438" t="n"/>
      <c r="F6" s="438" t="n"/>
      <c r="G6" s="438" t="n"/>
      <c r="H6" s="438" t="n"/>
      <c r="I6" s="439" t="n"/>
    </row>
    <row r="7" ht="62.1" customHeight="1" s="452">
      <c r="B7" s="374" t="n"/>
      <c r="C7" s="375" t="inlineStr">
        <is>
          <t>G-59 Sertifikasyon (ISO, Global GAP, İTU, Helal Gıda vb.)</t>
        </is>
      </c>
      <c r="D7" s="375" t="inlineStr">
        <is>
          <t>G-60 Kalite Yönetim Sistemi</t>
        </is>
      </c>
      <c r="E7" s="375" t="inlineStr">
        <is>
          <t>G-61 Tedarikçi Coğrafi konumu (300 km)</t>
        </is>
      </c>
      <c r="F7" s="375" t="inlineStr">
        <is>
          <t>G-62 Tedarikçi Sürdürülebilirlik Kriterleri</t>
        </is>
      </c>
      <c r="G7" s="375" t="inlineStr">
        <is>
          <t>G-63 Paydaş Etki Ölçümü</t>
        </is>
      </c>
      <c r="H7" s="375" t="inlineStr">
        <is>
          <t>G-64 Veri Güvenliği ve Gizlilik</t>
        </is>
      </c>
      <c r="I7" s="376" t="inlineStr">
        <is>
          <t>G-65 Kurumsal Risk Yönetimi</t>
        </is>
      </c>
      <c r="K7" s="238" t="inlineStr">
        <is>
          <t>Giriş açıklaması</t>
        </is>
      </c>
    </row>
    <row r="8" ht="32.1" customHeight="1" s="452">
      <c r="B8" s="377" t="inlineStr">
        <is>
          <t>G-59 Sertifikasyon (ISO, Global GAP, İTU, Helal Gıda vb.)</t>
        </is>
      </c>
      <c r="C8" s="261" t="n">
        <v>1</v>
      </c>
      <c r="D8" s="262" t="n">
        <v>2</v>
      </c>
      <c r="E8" s="262" t="n">
        <v>4</v>
      </c>
      <c r="F8" s="262" t="n">
        <v>4</v>
      </c>
      <c r="G8" s="262" t="n">
        <v>6</v>
      </c>
      <c r="H8" s="262" t="n">
        <v>3</v>
      </c>
      <c r="I8" s="378" t="n">
        <v>0.5</v>
      </c>
      <c r="K8" s="435" t="inlineStr">
        <is>
          <t>Sarı hücrelere Saaty ölçeğinde 1–9 veya ters değerleri giriniz. Yeşil hücreler otomatik ters değerlerdir.</t>
        </is>
      </c>
    </row>
    <row r="9" ht="32.1" customHeight="1" s="452">
      <c r="B9" s="377" t="inlineStr">
        <is>
          <t>G-60 Kalite Yönetim Sistemi</t>
        </is>
      </c>
      <c r="C9" s="263">
        <f>IFERROR(1/D8,"")</f>
        <v/>
      </c>
      <c r="D9" s="261" t="n">
        <v>1</v>
      </c>
      <c r="E9" s="262" t="n">
        <v>3</v>
      </c>
      <c r="F9" s="262" t="n">
        <v>3</v>
      </c>
      <c r="G9" s="262" t="n">
        <v>5</v>
      </c>
      <c r="H9" s="262" t="n">
        <v>2</v>
      </c>
      <c r="I9" s="378" t="n">
        <v>0.5</v>
      </c>
    </row>
    <row r="10" ht="32.1" customHeight="1" s="452">
      <c r="B10" s="377" t="inlineStr">
        <is>
          <t>G-61 Tedarikçi Coğrafi konumu (300 km)</t>
        </is>
      </c>
      <c r="C10" s="263">
        <f>IFERROR(1/E8,"")</f>
        <v/>
      </c>
      <c r="D10" s="263">
        <f>IFERROR(1/E9,"")</f>
        <v/>
      </c>
      <c r="E10" s="261" t="n">
        <v>1</v>
      </c>
      <c r="F10" s="262" t="n">
        <v>0.5</v>
      </c>
      <c r="G10" s="262" t="n">
        <v>3</v>
      </c>
      <c r="H10" s="262">
        <f>1/4</f>
        <v/>
      </c>
      <c r="I10" s="378" t="n">
        <v>0.25</v>
      </c>
    </row>
    <row r="11" ht="32.1" customHeight="1" s="452">
      <c r="B11" s="377" t="inlineStr">
        <is>
          <t>G-62 Tedarikçi Sürdürülebilirlik Kriterleri</t>
        </is>
      </c>
      <c r="C11" s="263">
        <f>IFERROR(1/F8,"")</f>
        <v/>
      </c>
      <c r="D11" s="263">
        <f>IFERROR(1/F9,"")</f>
        <v/>
      </c>
      <c r="E11" s="263">
        <f>IFERROR(1/F10,"")</f>
        <v/>
      </c>
      <c r="F11" s="261" t="n">
        <v>1</v>
      </c>
      <c r="G11" s="262" t="n">
        <v>3</v>
      </c>
      <c r="H11" s="262">
        <f>1/4</f>
        <v/>
      </c>
      <c r="I11" s="378">
        <f>0.25</f>
        <v/>
      </c>
    </row>
    <row r="12" ht="32.1" customHeight="1" s="452">
      <c r="B12" s="377" t="inlineStr">
        <is>
          <t>G-63 Paydaş Etki Ölçümü</t>
        </is>
      </c>
      <c r="C12" s="263">
        <f>IFERROR(1/G8,"")</f>
        <v/>
      </c>
      <c r="D12" s="263">
        <f>IFERROR(1/G9,"")</f>
        <v/>
      </c>
      <c r="E12" s="263">
        <f>IFERROR(1/G10,"")</f>
        <v/>
      </c>
      <c r="F12" s="263">
        <f>IFERROR(1/G11,"")</f>
        <v/>
      </c>
      <c r="G12" s="261" t="n">
        <v>1</v>
      </c>
      <c r="H12" s="262">
        <f>1/7</f>
        <v/>
      </c>
      <c r="I12" s="378">
        <f>1/6</f>
        <v/>
      </c>
    </row>
    <row r="13" ht="32.1" customHeight="1" s="452">
      <c r="B13" s="377" t="inlineStr">
        <is>
          <t>G-64 Veri Güvenliği ve Gizlilik</t>
        </is>
      </c>
      <c r="C13" s="263">
        <f>IFERROR(1/H8,"")</f>
        <v/>
      </c>
      <c r="D13" s="263">
        <f>IFERROR(1/H9,"")</f>
        <v/>
      </c>
      <c r="E13" s="263">
        <f>IFERROR(1/H10,"")</f>
        <v/>
      </c>
      <c r="F13" s="263">
        <f>IFERROR(1/H11,"")</f>
        <v/>
      </c>
      <c r="G13" s="263">
        <f>IFERROR(1/H12,"")</f>
        <v/>
      </c>
      <c r="H13" s="261" t="n">
        <v>1</v>
      </c>
      <c r="I13" s="378" t="n">
        <v>0.5</v>
      </c>
    </row>
    <row r="14" ht="32.1" customHeight="1" s="452" thickBot="1">
      <c r="B14" s="379" t="inlineStr">
        <is>
          <t>G-65 Kurumsal Risk Yönetimi</t>
        </is>
      </c>
      <c r="C14" s="380">
        <f>IFERROR(1/I8,"")</f>
        <v/>
      </c>
      <c r="D14" s="380">
        <f>IFERROR(1/I9,"")</f>
        <v/>
      </c>
      <c r="E14" s="380">
        <f>IFERROR(1/I10,"")</f>
        <v/>
      </c>
      <c r="F14" s="380">
        <f>IFERROR(1/I11,"")</f>
        <v/>
      </c>
      <c r="G14" s="380">
        <f>IFERROR(1/I12,"")</f>
        <v/>
      </c>
      <c r="H14" s="380">
        <f>IFERROR(1/I13,"")</f>
        <v/>
      </c>
      <c r="I14" s="381" t="n">
        <v>1</v>
      </c>
    </row>
    <row r="16" ht="15.75" customHeight="1" s="452" thickBot="1"/>
    <row r="17" ht="15.75" customHeight="1" s="452" thickBot="1">
      <c r="B17" s="437" t="inlineStr">
        <is>
          <t>2. Normalize matris ve yerel ağırlıklar</t>
        </is>
      </c>
      <c r="C17" s="438" t="n"/>
      <c r="D17" s="438" t="n"/>
      <c r="E17" s="438" t="n"/>
      <c r="F17" s="438" t="n"/>
      <c r="G17" s="438" t="n"/>
      <c r="H17" s="438" t="n"/>
      <c r="I17" s="438" t="n"/>
      <c r="J17" s="402" t="n"/>
    </row>
    <row r="18" ht="60" customHeight="1" s="452">
      <c r="B18" s="374" t="n"/>
      <c r="C18" s="383" t="inlineStr">
        <is>
          <t>G-59 Sertifikasyon (ISO, Global GAP, İTU, Helal Gıda vb.)</t>
        </is>
      </c>
      <c r="D18" s="383" t="inlineStr">
        <is>
          <t>G-60 Kalite Yönetim Sistemi</t>
        </is>
      </c>
      <c r="E18" s="383" t="inlineStr">
        <is>
          <t>G-61 Tedarikçi Coğrafi konumu (300 km)</t>
        </is>
      </c>
      <c r="F18" s="383" t="inlineStr">
        <is>
          <t>G-62 Tedarikçi Sürdürülebilirlik Kriterleri</t>
        </is>
      </c>
      <c r="G18" s="383" t="inlineStr">
        <is>
          <t>G-63 Paydaş Etki Ölçümü</t>
        </is>
      </c>
      <c r="H18" s="383" t="inlineStr">
        <is>
          <t>G-64 Veri Güvenliği ve Gizlilik</t>
        </is>
      </c>
      <c r="I18" s="383" t="inlineStr">
        <is>
          <t>G-65 Kurumsal Risk Yönetimi</t>
        </is>
      </c>
      <c r="J18" s="384" t="inlineStr">
        <is>
          <t>Yerel ağırlık</t>
        </is>
      </c>
    </row>
    <row r="19" ht="30" customHeight="1" s="452">
      <c r="B19" s="377" t="inlineStr">
        <is>
          <t>G-59 Sertifikasyon (ISO, Global GAP, İTU, Helal Gıda vb.)</t>
        </is>
      </c>
      <c r="C19" s="244">
        <f>IFERROR(C8/C$26,"")</f>
        <v/>
      </c>
      <c r="D19" s="244">
        <f>IFERROR(D8/D$26,"")</f>
        <v/>
      </c>
      <c r="E19" s="244">
        <f>IFERROR(E8/E$26,"")</f>
        <v/>
      </c>
      <c r="F19" s="244">
        <f>IFERROR(F8/F$26,"")</f>
        <v/>
      </c>
      <c r="G19" s="244">
        <f>IFERROR(G8/G$26,"")</f>
        <v/>
      </c>
      <c r="H19" s="244">
        <f>IFERROR(H8/H$26,"")</f>
        <v/>
      </c>
      <c r="I19" s="244">
        <f>IFERROR(I8/I$26,"")</f>
        <v/>
      </c>
      <c r="J19" s="349">
        <f>IFERROR(AVERAGE(C19:I19),"")</f>
        <v/>
      </c>
    </row>
    <row r="20">
      <c r="B20" s="377" t="inlineStr">
        <is>
          <t>G-60 Kalite Yönetim Sistemi</t>
        </is>
      </c>
      <c r="C20" s="244">
        <f>IFERROR(C9/C$26,"")</f>
        <v/>
      </c>
      <c r="D20" s="244">
        <f>IFERROR(D9/D$26,"")</f>
        <v/>
      </c>
      <c r="E20" s="244">
        <f>IFERROR(E9/E$26,"")</f>
        <v/>
      </c>
      <c r="F20" s="244">
        <f>IFERROR(F9/F$26,"")</f>
        <v/>
      </c>
      <c r="G20" s="244">
        <f>IFERROR(G9/G$26,"")</f>
        <v/>
      </c>
      <c r="H20" s="244">
        <f>IFERROR(H9/H$26,"")</f>
        <v/>
      </c>
      <c r="I20" s="244">
        <f>IFERROR(I9/I$26,"")</f>
        <v/>
      </c>
      <c r="J20" s="349">
        <f>IFERROR(AVERAGE(C20:I20),"")</f>
        <v/>
      </c>
    </row>
    <row r="21">
      <c r="B21" s="377" t="inlineStr">
        <is>
          <t>G-61 Tedarikçi Coğrafi konumu (300 km)</t>
        </is>
      </c>
      <c r="C21" s="244">
        <f>IFERROR(C10/C$26,"")</f>
        <v/>
      </c>
      <c r="D21" s="244">
        <f>IFERROR(D10/D$26,"")</f>
        <v/>
      </c>
      <c r="E21" s="244">
        <f>IFERROR(E10/E$26,"")</f>
        <v/>
      </c>
      <c r="F21" s="244">
        <f>IFERROR(F10/F$26,"")</f>
        <v/>
      </c>
      <c r="G21" s="244">
        <f>IFERROR(G10/G$26,"")</f>
        <v/>
      </c>
      <c r="H21" s="244">
        <f>IFERROR(H10/H$26,"")</f>
        <v/>
      </c>
      <c r="I21" s="244">
        <f>IFERROR(I10/I$26,"")</f>
        <v/>
      </c>
      <c r="J21" s="349">
        <f>IFERROR(AVERAGE(C21:I21),"")</f>
        <v/>
      </c>
    </row>
    <row r="22">
      <c r="B22" s="377" t="inlineStr">
        <is>
          <t>G-62 Tedarikçi Sürdürülebilirlik Kriterleri</t>
        </is>
      </c>
      <c r="C22" s="244">
        <f>IFERROR(C11/C$26,"")</f>
        <v/>
      </c>
      <c r="D22" s="244">
        <f>IFERROR(D11/D$26,"")</f>
        <v/>
      </c>
      <c r="E22" s="244">
        <f>IFERROR(E11/E$26,"")</f>
        <v/>
      </c>
      <c r="F22" s="244">
        <f>IFERROR(F11/F$26,"")</f>
        <v/>
      </c>
      <c r="G22" s="244">
        <f>IFERROR(G11/G$26,"")</f>
        <v/>
      </c>
      <c r="H22" s="244">
        <f>IFERROR(H11/H$26,"")</f>
        <v/>
      </c>
      <c r="I22" s="244">
        <f>IFERROR(I11/I$26,"")</f>
        <v/>
      </c>
      <c r="J22" s="349">
        <f>IFERROR(AVERAGE(C22:I22),"")</f>
        <v/>
      </c>
    </row>
    <row r="23">
      <c r="B23" s="377" t="inlineStr">
        <is>
          <t>G-63 Paydaş Etki Ölçümü</t>
        </is>
      </c>
      <c r="C23" s="244">
        <f>IFERROR(C12/C$26,"")</f>
        <v/>
      </c>
      <c r="D23" s="244">
        <f>IFERROR(D12/D$26,"")</f>
        <v/>
      </c>
      <c r="E23" s="244">
        <f>IFERROR(E12/E$26,"")</f>
        <v/>
      </c>
      <c r="F23" s="244">
        <f>IFERROR(F12/F$26,"")</f>
        <v/>
      </c>
      <c r="G23" s="244">
        <f>IFERROR(G12/G$26,"")</f>
        <v/>
      </c>
      <c r="H23" s="244">
        <f>IFERROR(H12/H$26,"")</f>
        <v/>
      </c>
      <c r="I23" s="244">
        <f>IFERROR(I12/I$26,"")</f>
        <v/>
      </c>
      <c r="J23" s="349">
        <f>IFERROR(AVERAGE(C23:I23),"")</f>
        <v/>
      </c>
    </row>
    <row r="24">
      <c r="B24" s="377" t="inlineStr">
        <is>
          <t>G-64 Veri Güvenliği ve Gizlilik</t>
        </is>
      </c>
      <c r="C24" s="244">
        <f>IFERROR(C13/C$26,"")</f>
        <v/>
      </c>
      <c r="D24" s="244">
        <f>IFERROR(D13/D$26,"")</f>
        <v/>
      </c>
      <c r="E24" s="244">
        <f>IFERROR(E13/E$26,"")</f>
        <v/>
      </c>
      <c r="F24" s="244">
        <f>IFERROR(F13/F$26,"")</f>
        <v/>
      </c>
      <c r="G24" s="244">
        <f>IFERROR(G13/G$26,"")</f>
        <v/>
      </c>
      <c r="H24" s="244">
        <f>IFERROR(H13/H$26,"")</f>
        <v/>
      </c>
      <c r="I24" s="244">
        <f>IFERROR(I13/I$26,"")</f>
        <v/>
      </c>
      <c r="J24" s="349">
        <f>IFERROR(AVERAGE(C24:I24),"")</f>
        <v/>
      </c>
    </row>
    <row r="25">
      <c r="B25" s="377" t="inlineStr">
        <is>
          <t>G-65 Kurumsal Risk Yönetimi</t>
        </is>
      </c>
      <c r="C25" s="244">
        <f>IFERROR(C14/C$26,"")</f>
        <v/>
      </c>
      <c r="D25" s="244">
        <f>IFERROR(D14/D$26,"")</f>
        <v/>
      </c>
      <c r="E25" s="244">
        <f>IFERROR(E14/E$26,"")</f>
        <v/>
      </c>
      <c r="F25" s="244">
        <f>IFERROR(F14/F$26,"")</f>
        <v/>
      </c>
      <c r="G25" s="244">
        <f>IFERROR(G14/G$26,"")</f>
        <v/>
      </c>
      <c r="H25" s="244">
        <f>IFERROR(H14/H$26,"")</f>
        <v/>
      </c>
      <c r="I25" s="244">
        <f>IFERROR(I14/I$26,"")</f>
        <v/>
      </c>
      <c r="J25" s="349">
        <f>IFERROR(AVERAGE(C25:I25),"")</f>
        <v/>
      </c>
    </row>
    <row r="26">
      <c r="B26" s="395" t="inlineStr">
        <is>
          <t>Sütun toplamı</t>
        </is>
      </c>
      <c r="C26" s="247">
        <f>SUM(C8:C14)</f>
        <v/>
      </c>
      <c r="D26" s="247">
        <f>SUM(D8:D14)</f>
        <v/>
      </c>
      <c r="E26" s="247">
        <f>SUM(E8:E14)</f>
        <v/>
      </c>
      <c r="F26" s="247">
        <f>SUM(F8:F14)</f>
        <v/>
      </c>
      <c r="G26" s="247">
        <f>SUM(G8:G14)</f>
        <v/>
      </c>
      <c r="H26" s="247">
        <f>SUM(H8:H14)</f>
        <v/>
      </c>
      <c r="I26" s="247">
        <f>SUM(I8:I14)</f>
        <v/>
      </c>
      <c r="J26" s="355" t="n"/>
    </row>
    <row r="27" hidden="1" s="452">
      <c r="B27" s="354" t="n"/>
      <c r="J27" s="355" t="n"/>
    </row>
    <row r="28" ht="15.75" customHeight="1" s="452" thickBot="1">
      <c r="B28" s="460" t="inlineStr">
        <is>
          <t>Ağırlık toplamı</t>
        </is>
      </c>
      <c r="C28" s="461" t="n"/>
      <c r="D28" s="461" t="n"/>
      <c r="E28" s="461" t="n"/>
      <c r="F28" s="461" t="n"/>
      <c r="G28" s="461" t="n"/>
      <c r="H28" s="461" t="n"/>
      <c r="I28" s="461" t="n"/>
      <c r="J28" s="456">
        <f>SUM(J19:J25)</f>
        <v/>
      </c>
    </row>
    <row r="29" ht="15.75" customHeight="1" s="452" thickBot="1"/>
    <row r="30" ht="15.75" customHeight="1" s="452" thickBot="1">
      <c r="B30" s="455" t="inlineStr">
        <is>
          <t>3. Tutarlılık analizi</t>
        </is>
      </c>
      <c r="C30" s="438" t="n"/>
      <c r="D30" s="438" t="n"/>
      <c r="E30" s="438" t="n"/>
      <c r="F30" s="438" t="n"/>
      <c r="G30" s="438" t="n"/>
      <c r="H30" s="438" t="n"/>
      <c r="I30" s="438" t="n"/>
      <c r="J30" s="439" t="n"/>
    </row>
    <row r="31">
      <c r="B31" s="371" t="inlineStr">
        <is>
          <t>λmax</t>
        </is>
      </c>
      <c r="C31" s="438" t="n"/>
      <c r="D31" s="438" t="n"/>
      <c r="E31" s="438" t="n"/>
      <c r="F31" s="438" t="n"/>
      <c r="G31" s="438" t="n"/>
      <c r="H31" s="438" t="n"/>
      <c r="I31" s="438" t="n"/>
      <c r="J31" s="396">
        <f>C26*J19+D26*J20+E26*J21+F26*J22+G26*J23+H26*J24+I26*J25</f>
        <v/>
      </c>
    </row>
    <row r="32">
      <c r="B32" s="365" t="inlineStr">
        <is>
          <t>CI</t>
        </is>
      </c>
      <c r="J32" s="367">
        <f>IFERROR((J31-7)/(7-1),"")</f>
        <v/>
      </c>
    </row>
    <row r="33">
      <c r="B33" s="365" t="inlineStr">
        <is>
          <t>RI (n=7)</t>
        </is>
      </c>
      <c r="J33" s="367" t="n">
        <v>1.32</v>
      </c>
    </row>
    <row r="34">
      <c r="B34" s="365" t="inlineStr">
        <is>
          <t>CR</t>
        </is>
      </c>
      <c r="J34" s="367">
        <f>IFERROR(J32/J33,"")</f>
        <v/>
      </c>
    </row>
    <row r="35" ht="15.75" customHeight="1" s="452" thickBot="1">
      <c r="B35" s="368" t="inlineStr">
        <is>
          <t>Karar</t>
        </is>
      </c>
      <c r="C35" s="369" t="n"/>
      <c r="D35" s="369" t="n"/>
      <c r="E35" s="369" t="n"/>
      <c r="F35" s="369" t="n"/>
      <c r="G35" s="369" t="n"/>
      <c r="H35" s="369" t="n"/>
      <c r="I35" s="369" t="n"/>
      <c r="J35" s="370">
        <f>IF(COUNT(D8,E8,F8,G8,H8,I8,E9,F9,G9,H9,I9,F10,G10,H10,I10,G11,H11,I11,H12,I12,I13)&lt;21,"Veri bekleniyor",IF(J34&lt;=0.1,"Tutarlı (CR ≤ 0,10)","Gözden geçirilmeli (CR &gt; 0,10)"))</f>
        <v/>
      </c>
    </row>
  </sheetData>
  <mergeCells count="6">
    <mergeCell ref="K8:M14"/>
    <mergeCell ref="B6:I6"/>
    <mergeCell ref="C4:L4"/>
    <mergeCell ref="B2:L2"/>
    <mergeCell ref="B30:J30"/>
    <mergeCell ref="B17:I17"/>
  </mergeCells>
  <pageMargins left="0.75" right="0.75" top="1" bottom="1" header="0.5" footer="0.5"/>
</worksheet>
</file>

<file path=xl/worksheets/sheet17.xml><?xml version="1.0" encoding="utf-8"?>
<worksheet xmlns="http://schemas.openxmlformats.org/spreadsheetml/2006/main">
  <sheetPr codeName="Sayfa34">
    <outlinePr summaryBelow="1" summaryRight="1"/>
    <pageSetUpPr/>
  </sheetPr>
  <dimension ref="B2:K29"/>
  <sheetViews>
    <sheetView showGridLines="0" workbookViewId="0">
      <pane xSplit="2" ySplit="7" topLeftCell="C16" activePane="bottomRight" state="frozen"/>
      <selection pane="topRight" activeCell="A1" sqref="A1"/>
      <selection pane="bottomLeft" activeCell="A1" sqref="A1"/>
      <selection pane="bottomRight" activeCell="G16" sqref="G16:G19"/>
    </sheetView>
  </sheetViews>
  <sheetFormatPr baseColWidth="8" defaultRowHeight="15"/>
  <cols>
    <col width="48" customWidth="1" style="452" min="2" max="2"/>
    <col width="18" customWidth="1" style="452" min="3" max="10"/>
  </cols>
  <sheetData>
    <row r="2" ht="18.75" customHeight="1" s="452">
      <c r="B2" s="436" t="inlineStr">
        <is>
          <t>Finans ve Operasyon Ana Bloğu Alt Grupları AHP</t>
        </is>
      </c>
    </row>
    <row r="4">
      <c r="B4" s="238" t="inlineStr">
        <is>
          <t>Karşılaştırma düzeyi</t>
        </is>
      </c>
      <c r="C4" t="inlineStr">
        <is>
          <t>Finans ve Operasyon ana bloğu alt grup karşılaştırması</t>
        </is>
      </c>
    </row>
    <row r="5" ht="15.75" customHeight="1" s="452" thickBot="1"/>
    <row r="6" ht="15.75" customHeight="1" s="452" thickBot="1">
      <c r="B6" s="455" t="inlineStr">
        <is>
          <t>1. İkili karşılaştırma matrisi – sarı hücrelere giriş yapınız</t>
        </is>
      </c>
      <c r="C6" s="438" t="n"/>
      <c r="D6" s="438" t="n"/>
      <c r="E6" s="438" t="n"/>
      <c r="F6" s="439" t="n"/>
    </row>
    <row r="7" ht="62.1" customHeight="1" s="452">
      <c r="B7" s="374" t="n"/>
      <c r="C7" s="375" t="inlineStr">
        <is>
          <t>Finansal</t>
        </is>
      </c>
      <c r="D7" s="375" t="inlineStr">
        <is>
          <t>Operasyonel</t>
        </is>
      </c>
      <c r="E7" s="375" t="inlineStr">
        <is>
          <t>Hayvancılık</t>
        </is>
      </c>
      <c r="F7" s="376" t="inlineStr">
        <is>
          <t>Bitkisel Üretim</t>
        </is>
      </c>
      <c r="H7" s="238" t="inlineStr">
        <is>
          <t>Giriş açıklaması</t>
        </is>
      </c>
    </row>
    <row r="8" ht="32.1" customHeight="1" s="452">
      <c r="B8" s="377" t="inlineStr">
        <is>
          <t>Finansal</t>
        </is>
      </c>
      <c r="C8" s="261" t="n">
        <v>1</v>
      </c>
      <c r="D8" s="262" t="n">
        <v>1</v>
      </c>
      <c r="E8" s="262" t="n">
        <v>0.5</v>
      </c>
      <c r="F8" s="378" t="n">
        <v>0.5</v>
      </c>
      <c r="H8" s="435" t="inlineStr">
        <is>
          <t>Sarı hücrelere Saaty ölçeğinde 1–9 veya ters değerleri giriniz. Yeşil hücreler otomatik ters değerlerdir.</t>
        </is>
      </c>
    </row>
    <row r="9" ht="32.1" customHeight="1" s="452">
      <c r="B9" s="377" t="inlineStr">
        <is>
          <t>Operasyonel</t>
        </is>
      </c>
      <c r="C9" s="263">
        <f>IFERROR(1/D8,"")</f>
        <v/>
      </c>
      <c r="D9" s="261" t="n">
        <v>1</v>
      </c>
      <c r="E9" s="262" t="n">
        <v>0.5</v>
      </c>
      <c r="F9" s="378" t="n">
        <v>0.5</v>
      </c>
    </row>
    <row r="10" ht="32.1" customHeight="1" s="452">
      <c r="B10" s="377" t="inlineStr">
        <is>
          <t>Hayvancılık</t>
        </is>
      </c>
      <c r="C10" s="263">
        <f>IFERROR(1/E8,"")</f>
        <v/>
      </c>
      <c r="D10" s="263">
        <f>IFERROR(1/E9,"")</f>
        <v/>
      </c>
      <c r="E10" s="261" t="n">
        <v>1</v>
      </c>
      <c r="F10" s="378" t="n">
        <v>1</v>
      </c>
    </row>
    <row r="11" ht="32.1" customHeight="1" s="452" thickBot="1">
      <c r="B11" s="379" t="inlineStr">
        <is>
          <t>Bitkisel Üretim</t>
        </is>
      </c>
      <c r="C11" s="380">
        <f>IFERROR(1/F8,"")</f>
        <v/>
      </c>
      <c r="D11" s="380">
        <f>IFERROR(1/F9,"")</f>
        <v/>
      </c>
      <c r="E11" s="380">
        <f>IFERROR(1/F10,"")</f>
        <v/>
      </c>
      <c r="F11" s="381" t="n">
        <v>1</v>
      </c>
    </row>
    <row r="13" ht="15.75" customHeight="1" s="452" thickBot="1"/>
    <row r="14" ht="15.75" customHeight="1" s="452" thickBot="1">
      <c r="B14" s="437" t="inlineStr">
        <is>
          <t>2. Normalize matris ve yerel ağırlıklar</t>
        </is>
      </c>
      <c r="C14" s="438" t="n"/>
      <c r="D14" s="438" t="n"/>
      <c r="E14" s="438" t="n"/>
      <c r="F14" s="438" t="n"/>
      <c r="G14" s="437" t="n"/>
      <c r="H14" s="438" t="n"/>
      <c r="I14" s="438" t="n"/>
      <c r="J14" s="438" t="n"/>
      <c r="K14" s="438" t="n"/>
    </row>
    <row r="15">
      <c r="B15" s="394" t="n"/>
      <c r="C15" s="383" t="inlineStr">
        <is>
          <t>Finansal</t>
        </is>
      </c>
      <c r="D15" s="383" t="inlineStr">
        <is>
          <t>Operasyonel</t>
        </is>
      </c>
      <c r="E15" s="383" t="inlineStr">
        <is>
          <t>Hayvancılık</t>
        </is>
      </c>
      <c r="F15" s="383" t="inlineStr">
        <is>
          <t>Bitkisel Üretim</t>
        </is>
      </c>
      <c r="G15" s="384" t="inlineStr">
        <is>
          <t>Yerel ağırlık</t>
        </is>
      </c>
    </row>
    <row r="16">
      <c r="B16" s="377" t="inlineStr">
        <is>
          <t>Finansal</t>
        </is>
      </c>
      <c r="C16" s="244">
        <f>IFERROR(C8/C$20,"")</f>
        <v/>
      </c>
      <c r="D16" s="244">
        <f>IFERROR(D8/D$20,"")</f>
        <v/>
      </c>
      <c r="E16" s="244">
        <f>IFERROR(E8/E$20,"")</f>
        <v/>
      </c>
      <c r="F16" s="244">
        <f>IFERROR(F8/F$20,"")</f>
        <v/>
      </c>
      <c r="G16" s="349">
        <f>IFERROR(AVERAGE(C16:F16),"")</f>
        <v/>
      </c>
    </row>
    <row r="17">
      <c r="B17" s="377" t="inlineStr">
        <is>
          <t>Operasyonel</t>
        </is>
      </c>
      <c r="C17" s="244">
        <f>IFERROR(C9/C$20,"")</f>
        <v/>
      </c>
      <c r="D17" s="244">
        <f>IFERROR(D9/D$20,"")</f>
        <v/>
      </c>
      <c r="E17" s="244">
        <f>IFERROR(E9/E$20,"")</f>
        <v/>
      </c>
      <c r="F17" s="244">
        <f>IFERROR(F9/F$20,"")</f>
        <v/>
      </c>
      <c r="G17" s="349">
        <f>IFERROR(AVERAGE(C17:F17),"")</f>
        <v/>
      </c>
    </row>
    <row r="18">
      <c r="B18" s="377" t="inlineStr">
        <is>
          <t>Hayvancılık</t>
        </is>
      </c>
      <c r="C18" s="244">
        <f>IFERROR(C10/C$20,"")</f>
        <v/>
      </c>
      <c r="D18" s="244">
        <f>IFERROR(D10/D$20,"")</f>
        <v/>
      </c>
      <c r="E18" s="244">
        <f>IFERROR(E10/E$20,"")</f>
        <v/>
      </c>
      <c r="F18" s="244">
        <f>IFERROR(F10/F$20,"")</f>
        <v/>
      </c>
      <c r="G18" s="349">
        <f>IFERROR(AVERAGE(C18:F18),"")</f>
        <v/>
      </c>
    </row>
    <row r="19">
      <c r="B19" s="377" t="inlineStr">
        <is>
          <t>Bitkisel Üretim</t>
        </is>
      </c>
      <c r="C19" s="244">
        <f>IFERROR(C11/C$20,"")</f>
        <v/>
      </c>
      <c r="D19" s="244">
        <f>IFERROR(D11/D$20,"")</f>
        <v/>
      </c>
      <c r="E19" s="244">
        <f>IFERROR(E11/E$20,"")</f>
        <v/>
      </c>
      <c r="F19" s="244">
        <f>IFERROR(F11/F$20,"")</f>
        <v/>
      </c>
      <c r="G19" s="349">
        <f>IFERROR(AVERAGE(C19:F19),"")</f>
        <v/>
      </c>
    </row>
    <row r="20">
      <c r="B20" s="395" t="inlineStr">
        <is>
          <t>Sütun toplamı</t>
        </is>
      </c>
      <c r="C20" s="247">
        <f>SUM(C8:C11)</f>
        <v/>
      </c>
      <c r="D20" s="247">
        <f>SUM(D8:D11)</f>
        <v/>
      </c>
      <c r="E20" s="247">
        <f>SUM(E8:E11)</f>
        <v/>
      </c>
      <c r="F20" s="247">
        <f>SUM(F8:F11)</f>
        <v/>
      </c>
      <c r="G20" s="355" t="n"/>
    </row>
    <row r="21" hidden="1" s="452">
      <c r="B21" s="354" t="n"/>
      <c r="G21" s="355" t="n"/>
    </row>
    <row r="22" ht="15.75" customHeight="1" s="452" thickBot="1">
      <c r="B22" s="459" t="inlineStr">
        <is>
          <t>Ağırlık toplamı</t>
        </is>
      </c>
      <c r="C22" s="456" t="n"/>
      <c r="D22" s="456" t="n"/>
      <c r="E22" s="456" t="n"/>
      <c r="F22" s="456" t="n"/>
      <c r="G22" s="456">
        <f>SUM(G16:G19)</f>
        <v/>
      </c>
    </row>
    <row r="23" ht="15.75" customHeight="1" s="452" thickBot="1"/>
    <row r="24" ht="15.75" customHeight="1" s="452" thickBot="1">
      <c r="B24" s="455" t="inlineStr">
        <is>
          <t>3. Tutarlılık analizi</t>
        </is>
      </c>
      <c r="C24" s="438" t="n"/>
      <c r="D24" s="438" t="n"/>
      <c r="E24" s="438" t="n"/>
      <c r="F24" s="438" t="n"/>
      <c r="G24" s="439" t="n"/>
    </row>
    <row r="25">
      <c r="B25" s="371" t="inlineStr">
        <is>
          <t>λmax</t>
        </is>
      </c>
      <c r="C25" s="438" t="n"/>
      <c r="D25" s="438" t="n"/>
      <c r="E25" s="438" t="n"/>
      <c r="F25" s="438" t="n"/>
      <c r="G25" s="396">
        <f>C20*G16+D20*G17+E20*G18+F20*G19</f>
        <v/>
      </c>
    </row>
    <row r="26">
      <c r="B26" s="365" t="inlineStr">
        <is>
          <t>CI</t>
        </is>
      </c>
      <c r="G26" s="367">
        <f>IFERROR((G25-4)/(4-1),"")</f>
        <v/>
      </c>
    </row>
    <row r="27">
      <c r="B27" s="365" t="inlineStr">
        <is>
          <t>RI (n=4)</t>
        </is>
      </c>
      <c r="G27" s="367" t="n">
        <v>0.9</v>
      </c>
    </row>
    <row r="28">
      <c r="B28" s="365" t="inlineStr">
        <is>
          <t>CR</t>
        </is>
      </c>
      <c r="G28" s="367">
        <f>IFERROR(G26/G27,"")</f>
        <v/>
      </c>
    </row>
    <row r="29" ht="15.75" customHeight="1" s="452" thickBot="1">
      <c r="B29" s="368" t="inlineStr">
        <is>
          <t>Karar</t>
        </is>
      </c>
      <c r="C29" s="369" t="n"/>
      <c r="D29" s="369" t="n"/>
      <c r="E29" s="369" t="n"/>
      <c r="F29" s="369" t="n"/>
      <c r="G29" s="370">
        <f>IF(COUNT(D8,E8,F8,E9,F9,F10)&lt;6,"Veri bekleniyor",IF(G28&lt;=0.1,"Tutarlı (CR ≤ 0,10)","Gözden geçirilmeli (CR &gt; 0,10)"))</f>
        <v/>
      </c>
    </row>
  </sheetData>
  <mergeCells count="6">
    <mergeCell ref="B24:G24"/>
    <mergeCell ref="B6:F6"/>
    <mergeCell ref="B2:I2"/>
    <mergeCell ref="C4:I4"/>
    <mergeCell ref="B14:F14"/>
    <mergeCell ref="H8:J11"/>
  </mergeCells>
  <pageMargins left="0.75" right="0.75" top="1" bottom="1" header="0.5" footer="0.5"/>
</worksheet>
</file>

<file path=xl/worksheets/sheet18.xml><?xml version="1.0" encoding="utf-8"?>
<worksheet xmlns="http://schemas.openxmlformats.org/spreadsheetml/2006/main">
  <sheetPr codeName="Sayfa35">
    <outlinePr summaryBelow="1" summaryRight="1"/>
    <pageSetUpPr/>
  </sheetPr>
  <dimension ref="B2:O33"/>
  <sheetViews>
    <sheetView showGridLines="0" workbookViewId="0">
      <pane xSplit="2" ySplit="7" topLeftCell="C20" activePane="bottomRight" state="frozen"/>
      <selection pane="topRight" activeCell="A1" sqref="A1"/>
      <selection pane="bottomLeft" activeCell="A1" sqref="A1"/>
      <selection pane="bottomRight" activeCell="B1" sqref="B1:I1048576"/>
    </sheetView>
  </sheetViews>
  <sheetFormatPr baseColWidth="8" defaultRowHeight="15"/>
  <cols>
    <col width="48" customWidth="1" style="452" min="2" max="2"/>
    <col width="18" customWidth="1" style="452" min="3" max="12"/>
  </cols>
  <sheetData>
    <row r="2" ht="18.75" customHeight="1" s="452">
      <c r="B2" s="436" t="inlineStr">
        <is>
          <t>Finans ve Operasyon → Finansal Göstergeleri AHP</t>
        </is>
      </c>
    </row>
    <row r="4">
      <c r="B4" s="238" t="inlineStr">
        <is>
          <t>Karşılaştırma düzeyi</t>
        </is>
      </c>
      <c r="C4" t="inlineStr">
        <is>
          <t>Finans ve Operasyon → Finansal</t>
        </is>
      </c>
    </row>
    <row r="5" ht="15.75" customHeight="1" s="452" thickBot="1"/>
    <row r="6" ht="15.75" customHeight="1" s="452" thickBot="1">
      <c r="B6" s="455" t="inlineStr">
        <is>
          <t>1. İkili karşılaştırma matrisi – sarı hücrelere giriş yapınız</t>
        </is>
      </c>
      <c r="C6" s="438" t="n"/>
      <c r="D6" s="438" t="n"/>
      <c r="E6" s="438" t="n"/>
      <c r="F6" s="438" t="n"/>
      <c r="G6" s="438" t="n"/>
      <c r="H6" s="439" t="n"/>
    </row>
    <row r="7" ht="62.1" customHeight="1" s="452">
      <c r="B7" s="374" t="n"/>
      <c r="C7" s="375" t="inlineStr">
        <is>
          <t>FO-66 Birim Alan Verimi</t>
        </is>
      </c>
      <c r="D7" s="375" t="inlineStr">
        <is>
          <t>FO-67 Hayvansal Verimlilik</t>
        </is>
      </c>
      <c r="E7" s="375" t="inlineStr">
        <is>
          <t>FO-68 Dış Girdi Bağımlılığı</t>
        </is>
      </c>
      <c r="F7" s="375" t="inlineStr">
        <is>
          <t>FO-69 Üretim Maliyet Hesaplamaları</t>
        </is>
      </c>
      <c r="G7" s="375" t="inlineStr">
        <is>
          <t>FO-70 İşletme Karlılığı</t>
        </is>
      </c>
      <c r="H7" s="376" t="inlineStr">
        <is>
          <t>FO-71 Üretim Kayıpları</t>
        </is>
      </c>
      <c r="J7" s="238" t="inlineStr">
        <is>
          <t>Giriş açıklaması</t>
        </is>
      </c>
    </row>
    <row r="8" ht="32.1" customHeight="1" s="452">
      <c r="B8" s="377" t="inlineStr">
        <is>
          <t>FO-66 Birim Alan Verimi</t>
        </is>
      </c>
      <c r="C8" s="261" t="n">
        <v>1</v>
      </c>
      <c r="D8" s="262" t="n">
        <v>0.5</v>
      </c>
      <c r="E8" s="262">
        <f>1/3</f>
        <v/>
      </c>
      <c r="F8" s="262" t="n">
        <v>3</v>
      </c>
      <c r="G8" s="262">
        <f>1/4</f>
        <v/>
      </c>
      <c r="H8" s="378" t="n">
        <v>2</v>
      </c>
      <c r="J8" s="435" t="inlineStr">
        <is>
          <t>Sarı hücrelere Saaty ölçeğinde 1–9 veya ters değerleri giriniz. Yeşil hücreler otomatik ters değerlerdir.</t>
        </is>
      </c>
    </row>
    <row r="9" ht="32.1" customHeight="1" s="452">
      <c r="B9" s="377" t="inlineStr">
        <is>
          <t>FO-67 Hayvansal Verimlilik</t>
        </is>
      </c>
      <c r="C9" s="263">
        <f>IFERROR(1/D8,"")</f>
        <v/>
      </c>
      <c r="D9" s="261" t="n">
        <v>1</v>
      </c>
      <c r="E9" s="262" t="n">
        <v>0.5</v>
      </c>
      <c r="F9" s="262" t="n">
        <v>3</v>
      </c>
      <c r="G9" s="262">
        <f>1/3</f>
        <v/>
      </c>
      <c r="H9" s="378" t="n">
        <v>3</v>
      </c>
    </row>
    <row r="10" ht="32.1" customHeight="1" s="452">
      <c r="B10" s="377" t="inlineStr">
        <is>
          <t>FO-68 Dış Girdi Bağımlılığı</t>
        </is>
      </c>
      <c r="C10" s="263">
        <f>IFERROR(1/E8,"")</f>
        <v/>
      </c>
      <c r="D10" s="263">
        <f>IFERROR(1/E9,"")</f>
        <v/>
      </c>
      <c r="E10" s="261" t="n">
        <v>1</v>
      </c>
      <c r="F10" s="262" t="n">
        <v>4</v>
      </c>
      <c r="G10" s="262" t="n">
        <v>0.5</v>
      </c>
      <c r="H10" s="378" t="n">
        <v>3</v>
      </c>
    </row>
    <row r="11" ht="32.1" customHeight="1" s="452">
      <c r="B11" s="377" t="inlineStr">
        <is>
          <t>FO-69 Üretim Maliyet Hesaplamaları</t>
        </is>
      </c>
      <c r="C11" s="263">
        <f>IFERROR(1/F8,"")</f>
        <v/>
      </c>
      <c r="D11" s="263">
        <f>IFERROR(1/F9,"")</f>
        <v/>
      </c>
      <c r="E11" s="263">
        <f>IFERROR(1/F10,"")</f>
        <v/>
      </c>
      <c r="F11" s="261" t="n">
        <v>1</v>
      </c>
      <c r="G11" s="262">
        <f>1/5</f>
        <v/>
      </c>
      <c r="H11" s="378" t="n">
        <v>0.5</v>
      </c>
    </row>
    <row r="12" ht="32.1" customHeight="1" s="452">
      <c r="B12" s="377" t="inlineStr">
        <is>
          <t>FO-70 İşletme Karlılığı</t>
        </is>
      </c>
      <c r="C12" s="263">
        <f>IFERROR(1/G8,"")</f>
        <v/>
      </c>
      <c r="D12" s="263">
        <f>IFERROR(1/G9,"")</f>
        <v/>
      </c>
      <c r="E12" s="263">
        <f>IFERROR(1/G10,"")</f>
        <v/>
      </c>
      <c r="F12" s="263">
        <f>IFERROR(1/G11,"")</f>
        <v/>
      </c>
      <c r="G12" s="261" t="n">
        <v>1</v>
      </c>
      <c r="H12" s="378" t="n">
        <v>5</v>
      </c>
    </row>
    <row r="13" ht="32.1" customHeight="1" s="452" thickBot="1">
      <c r="B13" s="379" t="inlineStr">
        <is>
          <t>FO-71 Üretim Kayıpları</t>
        </is>
      </c>
      <c r="C13" s="380">
        <f>IFERROR(1/H8,"")</f>
        <v/>
      </c>
      <c r="D13" s="380">
        <f>IFERROR(1/H9,"")</f>
        <v/>
      </c>
      <c r="E13" s="380">
        <f>IFERROR(1/H10,"")</f>
        <v/>
      </c>
      <c r="F13" s="380">
        <f>IFERROR(1/H11,"")</f>
        <v/>
      </c>
      <c r="G13" s="380">
        <f>IFERROR(1/H12,"")</f>
        <v/>
      </c>
      <c r="H13" s="381" t="n">
        <v>1</v>
      </c>
    </row>
    <row r="15" ht="15.75" customHeight="1" s="452" thickBot="1"/>
    <row r="16" ht="15.75" customHeight="1" s="452" thickBot="1">
      <c r="B16" s="437" t="inlineStr">
        <is>
          <t>2. Normalize matris ve yerel ağırlıklar</t>
        </is>
      </c>
      <c r="C16" s="438" t="n"/>
      <c r="D16" s="438" t="n"/>
      <c r="E16" s="438" t="n"/>
      <c r="F16" s="438" t="n"/>
      <c r="G16" s="438" t="n"/>
      <c r="H16" s="438" t="n"/>
      <c r="I16" s="437" t="n"/>
      <c r="J16" s="438" t="n"/>
      <c r="K16" s="438" t="n"/>
      <c r="L16" s="438" t="n"/>
      <c r="M16" s="438" t="n"/>
      <c r="N16" s="438" t="n"/>
      <c r="O16" s="438" t="n"/>
    </row>
    <row r="17" ht="45" customHeight="1" s="452">
      <c r="B17" s="382" t="n"/>
      <c r="C17" s="383" t="inlineStr">
        <is>
          <t>FO-66 Birim Alan Verimi</t>
        </is>
      </c>
      <c r="D17" s="383" t="inlineStr">
        <is>
          <t>FO-67 Hayvansal Verimlilik</t>
        </is>
      </c>
      <c r="E17" s="383" t="inlineStr">
        <is>
          <t>FO-68 Dış Girdi Bağımlılığı</t>
        </is>
      </c>
      <c r="F17" s="383" t="inlineStr">
        <is>
          <t>FO-69 Üretim Maliyet Hesaplamaları</t>
        </is>
      </c>
      <c r="G17" s="383" t="inlineStr">
        <is>
          <t>FO-70 İşletme Karlılığı</t>
        </is>
      </c>
      <c r="H17" s="383" t="inlineStr">
        <is>
          <t>FO-71 Üretim Kayıpları</t>
        </is>
      </c>
      <c r="I17" s="384" t="inlineStr">
        <is>
          <t>Yerel ağırlık</t>
        </is>
      </c>
    </row>
    <row r="18">
      <c r="B18" s="377" t="inlineStr">
        <is>
          <t>FO-66 Birim Alan Verimi</t>
        </is>
      </c>
      <c r="C18" s="244">
        <f>IFERROR(C8/C$24,"")</f>
        <v/>
      </c>
      <c r="D18" s="244">
        <f>IFERROR(D8/D$24,"")</f>
        <v/>
      </c>
      <c r="E18" s="244">
        <f>IFERROR(E8/E$24,"")</f>
        <v/>
      </c>
      <c r="F18" s="244">
        <f>IFERROR(F8/F$24,"")</f>
        <v/>
      </c>
      <c r="G18" s="244">
        <f>IFERROR(G8/G$24,"")</f>
        <v/>
      </c>
      <c r="H18" s="244">
        <f>IFERROR(H8/H$24,"")</f>
        <v/>
      </c>
      <c r="I18" s="349">
        <f>IFERROR(AVERAGE(C18:H18),"")</f>
        <v/>
      </c>
    </row>
    <row r="19">
      <c r="B19" s="377" t="inlineStr">
        <is>
          <t>FO-67 Hayvansal Verimlilik</t>
        </is>
      </c>
      <c r="C19" s="244">
        <f>IFERROR(C9/C$24,"")</f>
        <v/>
      </c>
      <c r="D19" s="244">
        <f>IFERROR(D9/D$24,"")</f>
        <v/>
      </c>
      <c r="E19" s="244">
        <f>IFERROR(E9/E$24,"")</f>
        <v/>
      </c>
      <c r="F19" s="244">
        <f>IFERROR(F9/F$24,"")</f>
        <v/>
      </c>
      <c r="G19" s="244">
        <f>IFERROR(G9/G$24,"")</f>
        <v/>
      </c>
      <c r="H19" s="244">
        <f>IFERROR(H9/H$24,"")</f>
        <v/>
      </c>
      <c r="I19" s="349">
        <f>IFERROR(AVERAGE(C19:H19),"")</f>
        <v/>
      </c>
    </row>
    <row r="20">
      <c r="B20" s="377" t="inlineStr">
        <is>
          <t>FO-68 Dış Girdi Bağımlılığı</t>
        </is>
      </c>
      <c r="C20" s="244">
        <f>IFERROR(C10/C$24,"")</f>
        <v/>
      </c>
      <c r="D20" s="244">
        <f>IFERROR(D10/D$24,"")</f>
        <v/>
      </c>
      <c r="E20" s="244">
        <f>IFERROR(E10/E$24,"")</f>
        <v/>
      </c>
      <c r="F20" s="244">
        <f>IFERROR(F10/F$24,"")</f>
        <v/>
      </c>
      <c r="G20" s="244">
        <f>IFERROR(G10/G$24,"")</f>
        <v/>
      </c>
      <c r="H20" s="244">
        <f>IFERROR(H10/H$24,"")</f>
        <v/>
      </c>
      <c r="I20" s="349">
        <f>IFERROR(AVERAGE(C20:H20),"")</f>
        <v/>
      </c>
    </row>
    <row r="21">
      <c r="B21" s="377" t="inlineStr">
        <is>
          <t>FO-69 Üretim Maliyet Hesaplamaları</t>
        </is>
      </c>
      <c r="C21" s="244">
        <f>IFERROR(C11/C$24,"")</f>
        <v/>
      </c>
      <c r="D21" s="244">
        <f>IFERROR(D11/D$24,"")</f>
        <v/>
      </c>
      <c r="E21" s="244">
        <f>IFERROR(E11/E$24,"")</f>
        <v/>
      </c>
      <c r="F21" s="244">
        <f>IFERROR(F11/F$24,"")</f>
        <v/>
      </c>
      <c r="G21" s="244">
        <f>IFERROR(G11/G$24,"")</f>
        <v/>
      </c>
      <c r="H21" s="244">
        <f>IFERROR(H11/H$24,"")</f>
        <v/>
      </c>
      <c r="I21" s="349">
        <f>IFERROR(AVERAGE(C21:H21),"")</f>
        <v/>
      </c>
    </row>
    <row r="22">
      <c r="B22" s="377" t="inlineStr">
        <is>
          <t>FO-70 İşletme Karlılığı</t>
        </is>
      </c>
      <c r="C22" s="244">
        <f>IFERROR(C12/C$24,"")</f>
        <v/>
      </c>
      <c r="D22" s="244">
        <f>IFERROR(D12/D$24,"")</f>
        <v/>
      </c>
      <c r="E22" s="244">
        <f>IFERROR(E12/E$24,"")</f>
        <v/>
      </c>
      <c r="F22" s="244">
        <f>IFERROR(F12/F$24,"")</f>
        <v/>
      </c>
      <c r="G22" s="244">
        <f>IFERROR(G12/G$24,"")</f>
        <v/>
      </c>
      <c r="H22" s="244">
        <f>IFERROR(H12/H$24,"")</f>
        <v/>
      </c>
      <c r="I22" s="349">
        <f>IFERROR(AVERAGE(C22:H22),"")</f>
        <v/>
      </c>
    </row>
    <row r="23">
      <c r="B23" s="377" t="inlineStr">
        <is>
          <t>FO-71 Üretim Kayıpları</t>
        </is>
      </c>
      <c r="C23" s="244">
        <f>IFERROR(C13/C$24,"")</f>
        <v/>
      </c>
      <c r="D23" s="244">
        <f>IFERROR(D13/D$24,"")</f>
        <v/>
      </c>
      <c r="E23" s="244">
        <f>IFERROR(E13/E$24,"")</f>
        <v/>
      </c>
      <c r="F23" s="244">
        <f>IFERROR(F13/F$24,"")</f>
        <v/>
      </c>
      <c r="G23" s="244">
        <f>IFERROR(G13/G$24,"")</f>
        <v/>
      </c>
      <c r="H23" s="244">
        <f>IFERROR(H13/H$24,"")</f>
        <v/>
      </c>
      <c r="I23" s="349">
        <f>IFERROR(AVERAGE(C23:H23),"")</f>
        <v/>
      </c>
    </row>
    <row r="24">
      <c r="B24" s="395" t="inlineStr">
        <is>
          <t>Sütun toplamı</t>
        </is>
      </c>
      <c r="C24" s="247">
        <f>SUM(C8:C13)</f>
        <v/>
      </c>
      <c r="D24" s="247">
        <f>SUM(D8:D13)</f>
        <v/>
      </c>
      <c r="E24" s="247">
        <f>SUM(E8:E13)</f>
        <v/>
      </c>
      <c r="F24" s="247">
        <f>SUM(F8:F13)</f>
        <v/>
      </c>
      <c r="G24" s="247">
        <f>SUM(G8:G13)</f>
        <v/>
      </c>
      <c r="H24" s="247">
        <f>SUM(H8:H13)</f>
        <v/>
      </c>
      <c r="I24" s="355" t="n"/>
    </row>
    <row r="25" hidden="1" s="452">
      <c r="B25" s="354" t="n"/>
      <c r="I25" s="355" t="n"/>
    </row>
    <row r="26" ht="15.75" customHeight="1" s="452" thickBot="1">
      <c r="B26" s="460" t="inlineStr">
        <is>
          <t>Ağırlık toplamı</t>
        </is>
      </c>
      <c r="C26" s="461" t="n"/>
      <c r="D26" s="461" t="n"/>
      <c r="E26" s="461" t="n"/>
      <c r="F26" s="461" t="n"/>
      <c r="G26" s="461" t="n"/>
      <c r="H26" s="461" t="n"/>
      <c r="I26" s="456">
        <f>SUM(I18:I23)</f>
        <v/>
      </c>
    </row>
    <row r="27" ht="15.75" customHeight="1" s="452" thickBot="1"/>
    <row r="28" ht="15.75" customHeight="1" s="452" thickBot="1">
      <c r="B28" s="455" t="inlineStr">
        <is>
          <t>3. Tutarlılık analizi</t>
        </is>
      </c>
      <c r="C28" s="438" t="n"/>
      <c r="D28" s="438" t="n"/>
      <c r="E28" s="438" t="n"/>
      <c r="F28" s="438" t="n"/>
      <c r="G28" s="438" t="n"/>
      <c r="H28" s="438" t="n"/>
      <c r="I28" s="439" t="n"/>
    </row>
    <row r="29">
      <c r="B29" s="371" t="inlineStr">
        <is>
          <t>λmax</t>
        </is>
      </c>
      <c r="C29" s="438" t="n"/>
      <c r="D29" s="438" t="n"/>
      <c r="E29" s="438" t="n"/>
      <c r="F29" s="438" t="n"/>
      <c r="G29" s="438" t="n"/>
      <c r="H29" s="438" t="n"/>
      <c r="I29" s="396">
        <f>C24*I18+D24*I19+E24*I20+F24*I21+G24*I22+H24*I23</f>
        <v/>
      </c>
    </row>
    <row r="30">
      <c r="B30" s="365" t="inlineStr">
        <is>
          <t>CI</t>
        </is>
      </c>
      <c r="I30" s="367">
        <f>IFERROR((I29-6)/(6-1),"")</f>
        <v/>
      </c>
    </row>
    <row r="31">
      <c r="B31" s="365" t="inlineStr">
        <is>
          <t>RI (n=6)</t>
        </is>
      </c>
      <c r="I31" s="367" t="n">
        <v>1.24</v>
      </c>
    </row>
    <row r="32">
      <c r="B32" s="365" t="inlineStr">
        <is>
          <t>CR</t>
        </is>
      </c>
      <c r="I32" s="367">
        <f>IFERROR(I30/I31,"")</f>
        <v/>
      </c>
    </row>
    <row r="33" ht="15.75" customHeight="1" s="452" thickBot="1">
      <c r="B33" s="368" t="inlineStr">
        <is>
          <t>Karar</t>
        </is>
      </c>
      <c r="C33" s="369" t="n"/>
      <c r="D33" s="369" t="n"/>
      <c r="E33" s="369" t="n"/>
      <c r="F33" s="369" t="n"/>
      <c r="G33" s="369" t="n"/>
      <c r="H33" s="369" t="n"/>
      <c r="I33" s="370">
        <f>IF(COUNT(D8,E8,F8,G8,H8,E9,F9,G9,H9,F10,G10,H10,G11,H11,H12)&lt;15,"Veri bekleniyor",IF(I32&lt;=0.1,"Tutarlı (CR ≤ 0,10)","Gözden geçirilmeli (CR &gt; 0,10)"))</f>
        <v/>
      </c>
    </row>
  </sheetData>
  <mergeCells count="6">
    <mergeCell ref="B28:I28"/>
    <mergeCell ref="B6:H6"/>
    <mergeCell ref="J8:L13"/>
    <mergeCell ref="B16:H16"/>
    <mergeCell ref="B2:K2"/>
    <mergeCell ref="C4:K4"/>
  </mergeCells>
  <pageMargins left="0.75" right="0.75" top="1" bottom="1" header="0.5" footer="0.5"/>
</worksheet>
</file>

<file path=xl/worksheets/sheet19.xml><?xml version="1.0" encoding="utf-8"?>
<worksheet xmlns="http://schemas.openxmlformats.org/spreadsheetml/2006/main">
  <sheetPr codeName="Sayfa36">
    <outlinePr summaryBelow="1" summaryRight="1"/>
    <pageSetUpPr/>
  </sheetPr>
  <dimension ref="B2:K31"/>
  <sheetViews>
    <sheetView showGridLines="0" workbookViewId="0">
      <pane xSplit="2" ySplit="7" topLeftCell="C17" activePane="bottomRight" state="frozen"/>
      <selection pane="topRight" activeCell="A1" sqref="A1"/>
      <selection pane="bottomLeft" activeCell="A1" sqref="A1"/>
      <selection pane="bottomRight" activeCell="B1" sqref="B1:H1048576"/>
    </sheetView>
  </sheetViews>
  <sheetFormatPr baseColWidth="8" defaultRowHeight="15"/>
  <cols>
    <col width="48" customWidth="1" style="452" min="2" max="2"/>
    <col width="18" customWidth="1" style="452" min="3" max="11"/>
  </cols>
  <sheetData>
    <row r="2" ht="18.75" customHeight="1" s="452">
      <c r="B2" s="436" t="inlineStr">
        <is>
          <t>Finans ve Operasyon → Operasyonel Göstergeleri AHP</t>
        </is>
      </c>
    </row>
    <row r="4">
      <c r="B4" s="238" t="inlineStr">
        <is>
          <t>Karşılaştırma düzeyi</t>
        </is>
      </c>
      <c r="C4" t="inlineStr">
        <is>
          <t>Finans ve Operasyon → Operasyonel</t>
        </is>
      </c>
    </row>
    <row r="5" ht="15.75" customHeight="1" s="452" thickBot="1"/>
    <row r="6" ht="15.75" customHeight="1" s="452" thickBot="1">
      <c r="B6" s="455" t="inlineStr">
        <is>
          <t>1. İkili karşılaştırma matrisi – sarı hücrelere giriş yapınız</t>
        </is>
      </c>
      <c r="C6" s="438" t="n"/>
      <c r="D6" s="438" t="n"/>
      <c r="E6" s="438" t="n"/>
      <c r="F6" s="438" t="n"/>
      <c r="G6" s="439" t="n"/>
    </row>
    <row r="7" ht="62.1" customHeight="1" s="452">
      <c r="B7" s="374" t="n"/>
      <c r="C7" s="375" t="inlineStr">
        <is>
          <t>FO-72 Stok Devir Hızı</t>
        </is>
      </c>
      <c r="D7" s="375" t="inlineStr">
        <is>
          <t>FO-73 Uluslararası Kalite Standartlarına Uyum</t>
        </is>
      </c>
      <c r="E7" s="375" t="inlineStr">
        <is>
          <t>FO-74 Üretimde Teknoloji Kullanımı</t>
        </is>
      </c>
      <c r="F7" s="375" t="inlineStr">
        <is>
          <t>FO-75 Verilerin Bilgi Teknolojileri ile takibi</t>
        </is>
      </c>
      <c r="G7" s="376" t="inlineStr">
        <is>
          <t>FO-76 Makine ve Ekipman Kullanım Oranı</t>
        </is>
      </c>
      <c r="I7" s="238" t="inlineStr">
        <is>
          <t>Giriş açıklaması</t>
        </is>
      </c>
    </row>
    <row r="8" ht="32.1" customHeight="1" s="452">
      <c r="B8" s="377" t="inlineStr">
        <is>
          <t>FO-72 Stok Devir Hızı</t>
        </is>
      </c>
      <c r="C8" s="261" t="n">
        <v>1</v>
      </c>
      <c r="D8" s="262">
        <f>1/4</f>
        <v/>
      </c>
      <c r="E8" s="262">
        <f>1/3</f>
        <v/>
      </c>
      <c r="F8" s="262" t="n">
        <v>0.5</v>
      </c>
      <c r="G8" s="378" t="n">
        <v>0.5</v>
      </c>
      <c r="I8" s="435" t="inlineStr">
        <is>
          <t>Sarı hücrelere Saaty ölçeğinde 1–9 veya ters değerleri giriniz. Yeşil hücreler otomatik ters değerlerdir.</t>
        </is>
      </c>
    </row>
    <row r="9" ht="32.1" customHeight="1" s="452">
      <c r="B9" s="377" t="inlineStr">
        <is>
          <t>FO-73 Uluslararası Kalite Standartlarına Uyum</t>
        </is>
      </c>
      <c r="C9" s="263">
        <f>IFERROR(1/D8,"")</f>
        <v/>
      </c>
      <c r="D9" s="261" t="n">
        <v>1</v>
      </c>
      <c r="E9" s="262" t="n">
        <v>2</v>
      </c>
      <c r="F9" s="262" t="n">
        <v>2</v>
      </c>
      <c r="G9" s="378" t="n">
        <v>2</v>
      </c>
    </row>
    <row r="10" ht="32.1" customHeight="1" s="452">
      <c r="B10" s="377" t="inlineStr">
        <is>
          <t>FO-74 Üretimde Teknoloji Kullanımı</t>
        </is>
      </c>
      <c r="C10" s="263">
        <f>IFERROR(1/E8,"")</f>
        <v/>
      </c>
      <c r="D10" s="263">
        <f>IFERROR(1/E9,"")</f>
        <v/>
      </c>
      <c r="E10" s="261" t="n">
        <v>1</v>
      </c>
      <c r="F10" s="262" t="n">
        <v>2</v>
      </c>
      <c r="G10" s="378" t="n">
        <v>4</v>
      </c>
    </row>
    <row r="11" ht="32.1" customHeight="1" s="452">
      <c r="B11" s="377" t="inlineStr">
        <is>
          <t>FO-75 Verilerin Bilgi Teknolojileri ile takibi</t>
        </is>
      </c>
      <c r="C11" s="263">
        <f>IFERROR(1/F8,"")</f>
        <v/>
      </c>
      <c r="D11" s="263">
        <f>IFERROR(1/F9,"")</f>
        <v/>
      </c>
      <c r="E11" s="263">
        <f>IFERROR(1/F10,"")</f>
        <v/>
      </c>
      <c r="F11" s="261" t="n">
        <v>1</v>
      </c>
      <c r="G11" s="378" t="n">
        <v>3</v>
      </c>
    </row>
    <row r="12" ht="32.1" customHeight="1" s="452" thickBot="1">
      <c r="B12" s="379" t="inlineStr">
        <is>
          <t>FO-76 Makine ve Ekipman Kullanım Oranı</t>
        </is>
      </c>
      <c r="C12" s="380">
        <f>IFERROR(1/G8,"")</f>
        <v/>
      </c>
      <c r="D12" s="380">
        <f>IFERROR(1/G9,"")</f>
        <v/>
      </c>
      <c r="E12" s="380">
        <f>IFERROR(1/G10,"")</f>
        <v/>
      </c>
      <c r="F12" s="380">
        <f>IFERROR(1/G11,"")</f>
        <v/>
      </c>
      <c r="G12" s="381" t="n">
        <v>1</v>
      </c>
    </row>
    <row r="14" ht="15.75" customHeight="1" s="452" thickBot="1"/>
    <row r="15" ht="15.75" customHeight="1" s="452" thickBot="1">
      <c r="B15" s="437" t="inlineStr">
        <is>
          <t>2. Normalize matris ve yerel ağırlıklar</t>
        </is>
      </c>
      <c r="C15" s="438" t="n"/>
      <c r="D15" s="438" t="n"/>
      <c r="E15" s="438" t="n"/>
      <c r="F15" s="438" t="n"/>
      <c r="G15" s="438" t="n"/>
      <c r="H15" s="402" t="n"/>
    </row>
    <row r="16" ht="60" customHeight="1" s="452">
      <c r="B16" s="394" t="n"/>
      <c r="C16" s="383" t="inlineStr">
        <is>
          <t>FO-72 Stok Devir Hızı</t>
        </is>
      </c>
      <c r="D16" s="383" t="inlineStr">
        <is>
          <t>FO-73 Uluslararası Kalite Standartlarına Uyum</t>
        </is>
      </c>
      <c r="E16" s="383" t="inlineStr">
        <is>
          <t>FO-74 Üretimde Teknoloji Kullanımı</t>
        </is>
      </c>
      <c r="F16" s="383" t="inlineStr">
        <is>
          <t>FO-75 Verilerin Bilgi Teknolojileri ile takibi</t>
        </is>
      </c>
      <c r="G16" s="383" t="inlineStr">
        <is>
          <t>FO-76 Makine ve Ekipman Kullanım Oranı</t>
        </is>
      </c>
      <c r="H16" s="384" t="inlineStr">
        <is>
          <t>Yerel ağırlık</t>
        </is>
      </c>
    </row>
    <row r="17">
      <c r="B17" s="377" t="inlineStr">
        <is>
          <t>FO-72 Stok Devir Hızı</t>
        </is>
      </c>
      <c r="C17" s="244">
        <f>IFERROR(C8/C$22,"")</f>
        <v/>
      </c>
      <c r="D17" s="244">
        <f>IFERROR(D8/D$22,"")</f>
        <v/>
      </c>
      <c r="E17" s="244">
        <f>IFERROR(E8/E$22,"")</f>
        <v/>
      </c>
      <c r="F17" s="244">
        <f>IFERROR(F8/F$22,"")</f>
        <v/>
      </c>
      <c r="G17" s="244">
        <f>IFERROR(G8/G$22,"")</f>
        <v/>
      </c>
      <c r="H17" s="349">
        <f>IFERROR(AVERAGE(C17:G17),"")</f>
        <v/>
      </c>
    </row>
    <row r="18">
      <c r="B18" s="377" t="inlineStr">
        <is>
          <t>FO-73 Uluslararası Kalite Standartlarına Uyum</t>
        </is>
      </c>
      <c r="C18" s="244">
        <f>IFERROR(C9/C$22,"")</f>
        <v/>
      </c>
      <c r="D18" s="244">
        <f>IFERROR(D9/D$22,"")</f>
        <v/>
      </c>
      <c r="E18" s="244">
        <f>IFERROR(E9/E$22,"")</f>
        <v/>
      </c>
      <c r="F18" s="244">
        <f>IFERROR(F9/F$22,"")</f>
        <v/>
      </c>
      <c r="G18" s="244">
        <f>IFERROR(G9/G$22,"")</f>
        <v/>
      </c>
      <c r="H18" s="349">
        <f>IFERROR(AVERAGE(C18:G18),"")</f>
        <v/>
      </c>
    </row>
    <row r="19">
      <c r="B19" s="377" t="inlineStr">
        <is>
          <t>FO-74 Üretimde Teknoloji Kullanımı</t>
        </is>
      </c>
      <c r="C19" s="244">
        <f>IFERROR(C10/C$22,"")</f>
        <v/>
      </c>
      <c r="D19" s="244">
        <f>IFERROR(D10/D$22,"")</f>
        <v/>
      </c>
      <c r="E19" s="244">
        <f>IFERROR(E10/E$22,"")</f>
        <v/>
      </c>
      <c r="F19" s="244">
        <f>IFERROR(F10/F$22,"")</f>
        <v/>
      </c>
      <c r="G19" s="244">
        <f>IFERROR(G10/G$22,"")</f>
        <v/>
      </c>
      <c r="H19" s="349">
        <f>IFERROR(AVERAGE(C19:G19),"")</f>
        <v/>
      </c>
    </row>
    <row r="20">
      <c r="B20" s="377" t="inlineStr">
        <is>
          <t>FO-75 Verilerin Bilgi Teknolojileri ile takibi</t>
        </is>
      </c>
      <c r="C20" s="244">
        <f>IFERROR(C11/C$22,"")</f>
        <v/>
      </c>
      <c r="D20" s="244">
        <f>IFERROR(D11/D$22,"")</f>
        <v/>
      </c>
      <c r="E20" s="244">
        <f>IFERROR(E11/E$22,"")</f>
        <v/>
      </c>
      <c r="F20" s="244">
        <f>IFERROR(F11/F$22,"")</f>
        <v/>
      </c>
      <c r="G20" s="244">
        <f>IFERROR(G11/G$22,"")</f>
        <v/>
      </c>
      <c r="H20" s="349">
        <f>IFERROR(AVERAGE(C20:G20),"")</f>
        <v/>
      </c>
    </row>
    <row r="21">
      <c r="B21" s="377" t="inlineStr">
        <is>
          <t>FO-76 Makine ve Ekipman Kullanım Oranı</t>
        </is>
      </c>
      <c r="C21" s="244">
        <f>IFERROR(C12/C$22,"")</f>
        <v/>
      </c>
      <c r="D21" s="244">
        <f>IFERROR(D12/D$22,"")</f>
        <v/>
      </c>
      <c r="E21" s="244">
        <f>IFERROR(E12/E$22,"")</f>
        <v/>
      </c>
      <c r="F21" s="244">
        <f>IFERROR(F12/F$22,"")</f>
        <v/>
      </c>
      <c r="G21" s="244">
        <f>IFERROR(G12/G$22,"")</f>
        <v/>
      </c>
      <c r="H21" s="349">
        <f>IFERROR(AVERAGE(C21:G21),"")</f>
        <v/>
      </c>
    </row>
    <row r="22">
      <c r="B22" s="395" t="inlineStr">
        <is>
          <t>Sütun toplamı</t>
        </is>
      </c>
      <c r="C22" s="247">
        <f>SUM(C8:C12)</f>
        <v/>
      </c>
      <c r="D22" s="247">
        <f>SUM(D8:D12)</f>
        <v/>
      </c>
      <c r="E22" s="247">
        <f>SUM(E8:E12)</f>
        <v/>
      </c>
      <c r="F22" s="247">
        <f>SUM(F8:F12)</f>
        <v/>
      </c>
      <c r="G22" s="247">
        <f>SUM(G8:G12)</f>
        <v/>
      </c>
      <c r="H22" s="355" t="n"/>
    </row>
    <row r="23" hidden="1" s="452">
      <c r="B23" s="354" t="n"/>
      <c r="H23" s="355" t="n"/>
    </row>
    <row r="24" ht="15.75" customHeight="1" s="452" thickBot="1">
      <c r="B24" s="460" t="inlineStr">
        <is>
          <t>Ağırlık toplamı</t>
        </is>
      </c>
      <c r="C24" s="461" t="n"/>
      <c r="D24" s="461" t="n"/>
      <c r="E24" s="461" t="n"/>
      <c r="F24" s="461" t="n"/>
      <c r="G24" s="461" t="n"/>
      <c r="H24" s="456">
        <f>SUM(H17:H21)</f>
        <v/>
      </c>
    </row>
    <row r="25" ht="15.75" customHeight="1" s="452" thickBot="1"/>
    <row r="26" ht="15.75" customHeight="1" s="452" thickBot="1">
      <c r="B26" s="455" t="inlineStr">
        <is>
          <t>3. Tutarlılık analizi</t>
        </is>
      </c>
      <c r="C26" s="438" t="n"/>
      <c r="D26" s="438" t="n"/>
      <c r="E26" s="438" t="n"/>
      <c r="F26" s="438" t="n"/>
      <c r="G26" s="438" t="n"/>
      <c r="H26" s="439" t="n"/>
    </row>
    <row r="27">
      <c r="B27" s="371" t="inlineStr">
        <is>
          <t>λmax</t>
        </is>
      </c>
      <c r="C27" s="438" t="n"/>
      <c r="D27" s="438" t="n"/>
      <c r="E27" s="438" t="n"/>
      <c r="F27" s="438" t="n"/>
      <c r="G27" s="438" t="n"/>
      <c r="H27" s="396">
        <f>C22*H17+D22*H18+E22*H19+F22*H20+G22*H21</f>
        <v/>
      </c>
    </row>
    <row r="28">
      <c r="B28" s="365" t="inlineStr">
        <is>
          <t>CI</t>
        </is>
      </c>
      <c r="H28" s="367">
        <f>IFERROR((H27-5)/(5-1),"")</f>
        <v/>
      </c>
    </row>
    <row r="29">
      <c r="B29" s="365" t="inlineStr">
        <is>
          <t>RI (n=5)</t>
        </is>
      </c>
      <c r="H29" s="367" t="n">
        <v>1.12</v>
      </c>
    </row>
    <row r="30">
      <c r="B30" s="365" t="inlineStr">
        <is>
          <t>CR</t>
        </is>
      </c>
      <c r="H30" s="367">
        <f>IFERROR(H28/H29,"")</f>
        <v/>
      </c>
    </row>
    <row r="31" ht="15.75" customHeight="1" s="452" thickBot="1">
      <c r="B31" s="368" t="inlineStr">
        <is>
          <t>Karar</t>
        </is>
      </c>
      <c r="C31" s="369" t="n"/>
      <c r="D31" s="369" t="n"/>
      <c r="E31" s="369" t="n"/>
      <c r="F31" s="369" t="n"/>
      <c r="G31" s="369" t="n"/>
      <c r="H31" s="370">
        <f>IF(COUNT(D8,E8,F8,G8,E9,F9,G9,F10,G10,G11)&lt;10,"Veri bekleniyor",IF(H30&lt;=0.1,"Tutarlı (CR ≤ 0,10)","Gözden geçirilmeli (CR &gt; 0,10)"))</f>
        <v/>
      </c>
    </row>
  </sheetData>
  <mergeCells count="6">
    <mergeCell ref="C4:J4"/>
    <mergeCell ref="B26:H26"/>
    <mergeCell ref="I8:K12"/>
    <mergeCell ref="B15:G15"/>
    <mergeCell ref="B2:J2"/>
    <mergeCell ref="B6:G6"/>
  </mergeCells>
  <pageMargins left="0.75" right="0.75" top="1" bottom="1" header="0.5" footer="0.5"/>
</worksheet>
</file>

<file path=xl/worksheets/sheet20.xml><?xml version="1.0" encoding="utf-8"?>
<worksheet xmlns="http://schemas.openxmlformats.org/spreadsheetml/2006/main">
  <sheetPr codeName="Sayfa37">
    <outlinePr summaryBelow="1" summaryRight="1"/>
    <pageSetUpPr/>
  </sheetPr>
  <dimension ref="B2:N37"/>
  <sheetViews>
    <sheetView showGridLines="0" workbookViewId="0">
      <pane xSplit="2" ySplit="7" topLeftCell="C17" activePane="bottomRight" state="frozen"/>
      <selection pane="topRight" activeCell="A1" sqref="A1"/>
      <selection pane="bottomLeft" activeCell="A1" sqref="A1"/>
      <selection pane="bottomRight" activeCell="B1" sqref="B1:K1048576"/>
    </sheetView>
  </sheetViews>
  <sheetFormatPr baseColWidth="8" defaultRowHeight="15"/>
  <cols>
    <col width="48" customWidth="1" style="452" min="2" max="2"/>
    <col width="18" customWidth="1" style="452" min="3" max="14"/>
  </cols>
  <sheetData>
    <row r="2" ht="18.75" customHeight="1" s="452">
      <c r="B2" s="436" t="inlineStr">
        <is>
          <t>Finans ve Operasyon → Hayvancılık Göstergeleri AHP</t>
        </is>
      </c>
    </row>
    <row r="4">
      <c r="B4" s="238" t="inlineStr">
        <is>
          <t>Karşılaştırma düzeyi</t>
        </is>
      </c>
      <c r="C4" t="inlineStr">
        <is>
          <t>Finans ve Operasyon → Hayvancılık</t>
        </is>
      </c>
    </row>
    <row r="5" ht="15.75" customHeight="1" s="452" thickBot="1"/>
    <row r="6" ht="15.75" customHeight="1" s="452" thickBot="1">
      <c r="B6" s="455" t="inlineStr">
        <is>
          <t>1. İkili karşılaştırma matrisi – sarı hücrelere giriş yapınız</t>
        </is>
      </c>
      <c r="C6" s="438" t="n"/>
      <c r="D6" s="438" t="n"/>
      <c r="E6" s="438" t="n"/>
      <c r="F6" s="438" t="n"/>
      <c r="G6" s="438" t="n"/>
      <c r="H6" s="438" t="n"/>
      <c r="I6" s="438" t="n"/>
      <c r="J6" s="439" t="n"/>
      <c r="K6" s="433" t="n"/>
    </row>
    <row r="7" ht="62.1" customHeight="1" s="452">
      <c r="B7" s="374" t="n"/>
      <c r="C7" s="375" t="inlineStr">
        <is>
          <t>FO-77 Üretim Performansı ve Döl Verimi Çıkarımları</t>
        </is>
      </c>
      <c r="D7" s="375" t="inlineStr">
        <is>
          <t>FO-78 Besleme ve Girdi Yönetimi Çıkarımları</t>
        </is>
      </c>
      <c r="E7" s="375" t="inlineStr">
        <is>
          <t>FO-79 Ürün Çeşitliliği ve Yan Ürün Ekonomisi</t>
        </is>
      </c>
      <c r="F7" s="375" t="inlineStr">
        <is>
          <t>FO-80 Birim Hayvan Başına Üretim Performansı</t>
        </is>
      </c>
      <c r="G7" s="375" t="inlineStr">
        <is>
          <t>FO-81 Sürü Sağlığı ve Yaşatma Başarısı</t>
        </is>
      </c>
      <c r="H7" s="375" t="inlineStr">
        <is>
          <t>FO-82 Genetik Çoğaltım ve Döl Verimi Verimliliği</t>
        </is>
      </c>
      <c r="I7" s="375" t="inlineStr">
        <is>
          <t>FO-83 Bölgesel Gıda Güvenliği ve Damızlık Arzı</t>
        </is>
      </c>
      <c r="J7" s="376" t="inlineStr">
        <is>
          <t>FO-84 Çevresel Emisyon Yoğunluğu (Karbon Ayak İzi)</t>
        </is>
      </c>
      <c r="L7" s="238" t="inlineStr">
        <is>
          <t>Giriş açıklaması</t>
        </is>
      </c>
    </row>
    <row r="8" ht="32.1" customHeight="1" s="452">
      <c r="B8" s="377" t="inlineStr">
        <is>
          <t>FO-77 Üretim Performansı ve Döl Verimi Çıkarımları</t>
        </is>
      </c>
      <c r="C8" s="261" t="n">
        <v>1</v>
      </c>
      <c r="D8" s="262" t="n">
        <v>3</v>
      </c>
      <c r="E8" s="262" t="n">
        <v>4</v>
      </c>
      <c r="F8" s="262" t="n">
        <v>3</v>
      </c>
      <c r="G8" s="262">
        <f>1/3</f>
        <v/>
      </c>
      <c r="H8" s="262" t="n">
        <v>3</v>
      </c>
      <c r="I8" s="262" t="n">
        <v>2</v>
      </c>
      <c r="J8" s="378" t="n">
        <v>0.5</v>
      </c>
      <c r="L8" s="435" t="inlineStr">
        <is>
          <t>Sarı hücrelere Saaty ölçeğinde 1–9 veya ters değerleri giriniz. Yeşil hücreler otomatik ters değerlerdir.</t>
        </is>
      </c>
    </row>
    <row r="9" ht="32.1" customHeight="1" s="452">
      <c r="B9" s="377" t="inlineStr">
        <is>
          <t>FO-78 Besleme ve Girdi Yönetimi Çıkarımları</t>
        </is>
      </c>
      <c r="C9" s="263">
        <f>IFERROR(1/D8,"")</f>
        <v/>
      </c>
      <c r="D9" s="261" t="n">
        <v>1</v>
      </c>
      <c r="E9" s="262" t="n">
        <v>5</v>
      </c>
      <c r="F9" s="262" t="n">
        <v>4</v>
      </c>
      <c r="G9" s="262" t="n">
        <v>0.5</v>
      </c>
      <c r="H9" s="262" t="n">
        <v>3</v>
      </c>
      <c r="I9" s="262" t="n">
        <v>3</v>
      </c>
      <c r="J9" s="378" t="n">
        <v>0.5</v>
      </c>
    </row>
    <row r="10" ht="32.1" customHeight="1" s="452">
      <c r="B10" s="377" t="inlineStr">
        <is>
          <t>FO-79 Ürün Çeşitliliği ve Yan Ürün Ekonomisi</t>
        </is>
      </c>
      <c r="C10" s="263">
        <f>IFERROR(1/E8,"")</f>
        <v/>
      </c>
      <c r="D10" s="263">
        <f>IFERROR(1/E9,"")</f>
        <v/>
      </c>
      <c r="E10" s="261" t="n">
        <v>1</v>
      </c>
      <c r="F10" s="262">
        <f>0.5</f>
        <v/>
      </c>
      <c r="G10" s="262">
        <f>1/5</f>
        <v/>
      </c>
      <c r="H10" s="262">
        <f>1/3</f>
        <v/>
      </c>
      <c r="I10" s="262" t="n">
        <v>0.2</v>
      </c>
      <c r="J10" s="378">
        <f>1/6</f>
        <v/>
      </c>
    </row>
    <row r="11" ht="32.1" customHeight="1" s="452">
      <c r="B11" s="377" t="inlineStr">
        <is>
          <t>FO-80 Birim Hayvan Başına Üretim Performansı</t>
        </is>
      </c>
      <c r="C11" s="263">
        <f>IFERROR(1/F8,"")</f>
        <v/>
      </c>
      <c r="D11" s="263">
        <f>IFERROR(1/F9,"")</f>
        <v/>
      </c>
      <c r="E11" s="263">
        <f>IFERROR(1/F10,"")</f>
        <v/>
      </c>
      <c r="F11" s="261" t="n">
        <v>1</v>
      </c>
      <c r="G11" s="262">
        <f>1/3</f>
        <v/>
      </c>
      <c r="H11" s="262" t="n">
        <v>0.5</v>
      </c>
      <c r="I11" s="262" t="n">
        <v>0.5</v>
      </c>
      <c r="J11" s="378" t="n">
        <v>0.25</v>
      </c>
    </row>
    <row r="12" ht="32.1" customHeight="1" s="452">
      <c r="B12" s="377" t="inlineStr">
        <is>
          <t>FO-81 Sürü Sağlığı ve Yaşatma Başarısı</t>
        </is>
      </c>
      <c r="C12" s="263">
        <f>IFERROR(1/G8,"")</f>
        <v/>
      </c>
      <c r="D12" s="263">
        <f>IFERROR(1/G9,"")</f>
        <v/>
      </c>
      <c r="E12" s="263">
        <f>IFERROR(1/G10,"")</f>
        <v/>
      </c>
      <c r="F12" s="263">
        <f>IFERROR(1/G11,"")</f>
        <v/>
      </c>
      <c r="G12" s="261" t="n">
        <v>1</v>
      </c>
      <c r="H12" s="262" t="n">
        <v>4</v>
      </c>
      <c r="I12" s="262" t="n">
        <v>5</v>
      </c>
      <c r="J12" s="378">
        <f>2</f>
        <v/>
      </c>
    </row>
    <row r="13" ht="32.1" customHeight="1" s="452">
      <c r="B13" s="377" t="inlineStr">
        <is>
          <t>FO-82 Genetik Çoğaltım ve Döl Verimi Verimliliği</t>
        </is>
      </c>
      <c r="C13" s="263">
        <f>IFERROR(1/H8,"")</f>
        <v/>
      </c>
      <c r="D13" s="263">
        <f>IFERROR(1/H9,"")</f>
        <v/>
      </c>
      <c r="E13" s="263">
        <f>IFERROR(1/H10,"")</f>
        <v/>
      </c>
      <c r="F13" s="263">
        <f>IFERROR(1/H11,"")</f>
        <v/>
      </c>
      <c r="G13" s="263">
        <f>IFERROR(1/H12,"")</f>
        <v/>
      </c>
      <c r="H13" s="261" t="n">
        <v>1</v>
      </c>
      <c r="I13" s="262" t="n">
        <v>2</v>
      </c>
      <c r="J13" s="378">
        <f>1/3</f>
        <v/>
      </c>
    </row>
    <row r="14" ht="32.1" customHeight="1" s="452">
      <c r="B14" s="377" t="inlineStr">
        <is>
          <t>FO-83 Bölgesel Gıda Güvenliği ve Damızlık Arzı</t>
        </is>
      </c>
      <c r="C14" s="263">
        <f>IFERROR(1/I8,"")</f>
        <v/>
      </c>
      <c r="D14" s="263">
        <f>IFERROR(1/I9,"")</f>
        <v/>
      </c>
      <c r="E14" s="263">
        <f>IFERROR(1/I10,"")</f>
        <v/>
      </c>
      <c r="F14" s="263">
        <f>IFERROR(1/I11,"")</f>
        <v/>
      </c>
      <c r="G14" s="263">
        <f>IFERROR(1/I12,"")</f>
        <v/>
      </c>
      <c r="H14" s="263">
        <f>IFERROR(1/I13,"")</f>
        <v/>
      </c>
      <c r="I14" s="261" t="n">
        <v>1</v>
      </c>
      <c r="J14" s="378" t="n">
        <v>0.25</v>
      </c>
    </row>
    <row r="15" ht="32.1" customHeight="1" s="452" thickBot="1">
      <c r="B15" s="379" t="inlineStr">
        <is>
          <t>FO-84 Çevresel Emisyon Yoğunluğu (Karbon Ayak İzi)</t>
        </is>
      </c>
      <c r="C15" s="380">
        <f>IFERROR(1/J8,"")</f>
        <v/>
      </c>
      <c r="D15" s="380">
        <f>IFERROR(1/J9,"")</f>
        <v/>
      </c>
      <c r="E15" s="380">
        <f>IFERROR(1/J10,"")</f>
        <v/>
      </c>
      <c r="F15" s="380">
        <f>IFERROR(1/J11,"")</f>
        <v/>
      </c>
      <c r="G15" s="380">
        <f>IFERROR(1/J12,"")</f>
        <v/>
      </c>
      <c r="H15" s="380">
        <f>IFERROR(1/J13,"")</f>
        <v/>
      </c>
      <c r="I15" s="380">
        <f>IFERROR(1/J14,"")</f>
        <v/>
      </c>
      <c r="J15" s="381" t="n">
        <v>1</v>
      </c>
    </row>
    <row r="17" ht="15.75" customHeight="1" s="452" thickBot="1"/>
    <row r="18" ht="15.75" customHeight="1" s="452" thickBot="1">
      <c r="B18" s="437" t="inlineStr">
        <is>
          <t>2. Normalize matris ve yerel ağırlıklar</t>
        </is>
      </c>
      <c r="C18" s="438" t="n"/>
      <c r="D18" s="438" t="n"/>
      <c r="E18" s="438" t="n"/>
      <c r="F18" s="438" t="n"/>
      <c r="G18" s="438" t="n"/>
      <c r="H18" s="438" t="n"/>
      <c r="I18" s="438" t="n"/>
      <c r="J18" s="438" t="n"/>
      <c r="K18" s="433" t="n"/>
    </row>
    <row r="19" ht="60" customHeight="1" s="452">
      <c r="B19" s="394" t="n"/>
      <c r="C19" s="383" t="inlineStr">
        <is>
          <t>FO-77 Üretim Performansı ve Döl Verimi Çıkarımları</t>
        </is>
      </c>
      <c r="D19" s="383" t="inlineStr">
        <is>
          <t>FO-78 Besleme ve Girdi Yönetimi Çıkarımları</t>
        </is>
      </c>
      <c r="E19" s="383" t="inlineStr">
        <is>
          <t>FO-79 Ürün Çeşitliliği ve Yan Ürün Ekonomisi</t>
        </is>
      </c>
      <c r="F19" s="383" t="inlineStr">
        <is>
          <t>FO-80 Birim Hayvan Başına Üretim Performansı</t>
        </is>
      </c>
      <c r="G19" s="383" t="inlineStr">
        <is>
          <t>FO-81 Sürü Sağlığı ve Yaşatma Başarısı</t>
        </is>
      </c>
      <c r="H19" s="383" t="inlineStr">
        <is>
          <t>FO-82 Genetik Çoğaltım ve Döl Verimi Verimliliği</t>
        </is>
      </c>
      <c r="I19" s="383" t="inlineStr">
        <is>
          <t>FO-83 Bölgesel Gıda Güvenliği ve Damızlık Arzı</t>
        </is>
      </c>
      <c r="J19" s="383" t="inlineStr">
        <is>
          <t>FO-84 Çevresel Emisyon Yoğunluğu (Karbon Ayak İzi)</t>
        </is>
      </c>
      <c r="K19" s="384" t="inlineStr">
        <is>
          <t>Yerel ağırlık</t>
        </is>
      </c>
    </row>
    <row r="20">
      <c r="B20" s="377" t="inlineStr">
        <is>
          <t>FO-77 Üretim Performansı ve Döl Verimi Çıkarımları</t>
        </is>
      </c>
      <c r="C20" s="244">
        <f>IFERROR(C8/C$28,"")</f>
        <v/>
      </c>
      <c r="D20" s="244">
        <f>IFERROR(D8/D$28,"")</f>
        <v/>
      </c>
      <c r="E20" s="244">
        <f>IFERROR(E8/E$28,"")</f>
        <v/>
      </c>
      <c r="F20" s="244">
        <f>IFERROR(F8/F$28,"")</f>
        <v/>
      </c>
      <c r="G20" s="244">
        <f>IFERROR(G8/G$28,"")</f>
        <v/>
      </c>
      <c r="H20" s="244">
        <f>IFERROR(H8/H$28,"")</f>
        <v/>
      </c>
      <c r="I20" s="244">
        <f>IFERROR(I8/I$28,"")</f>
        <v/>
      </c>
      <c r="J20" s="244">
        <f>IFERROR(J8/J$28,"")</f>
        <v/>
      </c>
      <c r="K20" s="349">
        <f>IFERROR(AVERAGE(C20:J20),"")</f>
        <v/>
      </c>
    </row>
    <row r="21">
      <c r="B21" s="377" t="inlineStr">
        <is>
          <t>FO-78 Besleme ve Girdi Yönetimi Çıkarımları</t>
        </is>
      </c>
      <c r="C21" s="244">
        <f>IFERROR(C9/C$28,"")</f>
        <v/>
      </c>
      <c r="D21" s="244">
        <f>IFERROR(D9/D$28,"")</f>
        <v/>
      </c>
      <c r="E21" s="244">
        <f>IFERROR(E9/E$28,"")</f>
        <v/>
      </c>
      <c r="F21" s="244">
        <f>IFERROR(F9/F$28,"")</f>
        <v/>
      </c>
      <c r="G21" s="244">
        <f>IFERROR(G9/G$28,"")</f>
        <v/>
      </c>
      <c r="H21" s="244">
        <f>IFERROR(H9/H$28,"")</f>
        <v/>
      </c>
      <c r="I21" s="244">
        <f>IFERROR(I9/I$28,"")</f>
        <v/>
      </c>
      <c r="J21" s="244">
        <f>IFERROR(J9/J$28,"")</f>
        <v/>
      </c>
      <c r="K21" s="349">
        <f>IFERROR(AVERAGE(C21:J21),"")</f>
        <v/>
      </c>
    </row>
    <row r="22">
      <c r="B22" s="377" t="inlineStr">
        <is>
          <t>FO-79 Ürün Çeşitliliği ve Yan Ürün Ekonomisi</t>
        </is>
      </c>
      <c r="C22" s="244">
        <f>IFERROR(C10/C$28,"")</f>
        <v/>
      </c>
      <c r="D22" s="244">
        <f>IFERROR(D10/D$28,"")</f>
        <v/>
      </c>
      <c r="E22" s="244">
        <f>IFERROR(E10/E$28,"")</f>
        <v/>
      </c>
      <c r="F22" s="244">
        <f>IFERROR(F10/F$28,"")</f>
        <v/>
      </c>
      <c r="G22" s="244">
        <f>IFERROR(G10/G$28,"")</f>
        <v/>
      </c>
      <c r="H22" s="244">
        <f>IFERROR(H10/H$28,"")</f>
        <v/>
      </c>
      <c r="I22" s="244">
        <f>IFERROR(I10/I$28,"")</f>
        <v/>
      </c>
      <c r="J22" s="244">
        <f>IFERROR(J10/J$28,"")</f>
        <v/>
      </c>
      <c r="K22" s="349">
        <f>IFERROR(AVERAGE(C22:J22),"")</f>
        <v/>
      </c>
    </row>
    <row r="23">
      <c r="B23" s="377" t="inlineStr">
        <is>
          <t>FO-80 Birim Hayvan Başına Üretim Performansı</t>
        </is>
      </c>
      <c r="C23" s="244">
        <f>IFERROR(C11/C$28,"")</f>
        <v/>
      </c>
      <c r="D23" s="244">
        <f>IFERROR(D11/D$28,"")</f>
        <v/>
      </c>
      <c r="E23" s="244">
        <f>IFERROR(E11/E$28,"")</f>
        <v/>
      </c>
      <c r="F23" s="244">
        <f>IFERROR(F11/F$28,"")</f>
        <v/>
      </c>
      <c r="G23" s="244">
        <f>IFERROR(G11/G$28,"")</f>
        <v/>
      </c>
      <c r="H23" s="244">
        <f>IFERROR(H11/H$28,"")</f>
        <v/>
      </c>
      <c r="I23" s="244">
        <f>IFERROR(I11/I$28,"")</f>
        <v/>
      </c>
      <c r="J23" s="244">
        <f>IFERROR(J11/J$28,"")</f>
        <v/>
      </c>
      <c r="K23" s="349">
        <f>IFERROR(AVERAGE(C23:J23),"")</f>
        <v/>
      </c>
    </row>
    <row r="24">
      <c r="B24" s="377" t="inlineStr">
        <is>
          <t>FO-81 Sürü Sağlığı ve Yaşatma Başarısı</t>
        </is>
      </c>
      <c r="C24" s="244">
        <f>IFERROR(C12/C$28,"")</f>
        <v/>
      </c>
      <c r="D24" s="244">
        <f>IFERROR(D12/D$28,"")</f>
        <v/>
      </c>
      <c r="E24" s="244">
        <f>IFERROR(E12/E$28,"")</f>
        <v/>
      </c>
      <c r="F24" s="244">
        <f>IFERROR(F12/F$28,"")</f>
        <v/>
      </c>
      <c r="G24" s="244">
        <f>IFERROR(G12/G$28,"")</f>
        <v/>
      </c>
      <c r="H24" s="244">
        <f>IFERROR(H12/H$28,"")</f>
        <v/>
      </c>
      <c r="I24" s="244">
        <f>IFERROR(I12/I$28,"")</f>
        <v/>
      </c>
      <c r="J24" s="244">
        <f>IFERROR(J12/J$28,"")</f>
        <v/>
      </c>
      <c r="K24" s="349">
        <f>IFERROR(AVERAGE(C24:J24),"")</f>
        <v/>
      </c>
    </row>
    <row r="25">
      <c r="B25" s="377" t="inlineStr">
        <is>
          <t>FO-82 Genetik Çoğaltım ve Döl Verimi Verimliliği</t>
        </is>
      </c>
      <c r="C25" s="244">
        <f>IFERROR(C13/C$28,"")</f>
        <v/>
      </c>
      <c r="D25" s="244">
        <f>IFERROR(D13/D$28,"")</f>
        <v/>
      </c>
      <c r="E25" s="244">
        <f>IFERROR(E13/E$28,"")</f>
        <v/>
      </c>
      <c r="F25" s="244">
        <f>IFERROR(F13/F$28,"")</f>
        <v/>
      </c>
      <c r="G25" s="244">
        <f>IFERROR(G13/G$28,"")</f>
        <v/>
      </c>
      <c r="H25" s="244">
        <f>IFERROR(H13/H$28,"")</f>
        <v/>
      </c>
      <c r="I25" s="244">
        <f>IFERROR(I13/I$28,"")</f>
        <v/>
      </c>
      <c r="J25" s="244">
        <f>IFERROR(J13/J$28,"")</f>
        <v/>
      </c>
      <c r="K25" s="349">
        <f>IFERROR(AVERAGE(C25:J25),"")</f>
        <v/>
      </c>
    </row>
    <row r="26">
      <c r="B26" s="377" t="inlineStr">
        <is>
          <t>FO-83 Bölgesel Gıda Güvenliği ve Damızlık Arzı</t>
        </is>
      </c>
      <c r="C26" s="244">
        <f>IFERROR(C14/C$28,"")</f>
        <v/>
      </c>
      <c r="D26" s="244">
        <f>IFERROR(D14/D$28,"")</f>
        <v/>
      </c>
      <c r="E26" s="244">
        <f>IFERROR(E14/E$28,"")</f>
        <v/>
      </c>
      <c r="F26" s="244">
        <f>IFERROR(F14/F$28,"")</f>
        <v/>
      </c>
      <c r="G26" s="244">
        <f>IFERROR(G14/G$28,"")</f>
        <v/>
      </c>
      <c r="H26" s="244">
        <f>IFERROR(H14/H$28,"")</f>
        <v/>
      </c>
      <c r="I26" s="244">
        <f>IFERROR(I14/I$28,"")</f>
        <v/>
      </c>
      <c r="J26" s="244">
        <f>IFERROR(J14/J$28,"")</f>
        <v/>
      </c>
      <c r="K26" s="349">
        <f>IFERROR(AVERAGE(C26:J26),"")</f>
        <v/>
      </c>
    </row>
    <row r="27" ht="30" customHeight="1" s="452">
      <c r="B27" s="377" t="inlineStr">
        <is>
          <t>FO-84 Çevresel Emisyon Yoğunluğu (Karbon Ayak İzi)</t>
        </is>
      </c>
      <c r="C27" s="244">
        <f>IFERROR(C15/C$28,"")</f>
        <v/>
      </c>
      <c r="D27" s="244">
        <f>IFERROR(D15/D$28,"")</f>
        <v/>
      </c>
      <c r="E27" s="244">
        <f>IFERROR(E15/E$28,"")</f>
        <v/>
      </c>
      <c r="F27" s="244">
        <f>IFERROR(F15/F$28,"")</f>
        <v/>
      </c>
      <c r="G27" s="244">
        <f>IFERROR(G15/G$28,"")</f>
        <v/>
      </c>
      <c r="H27" s="244">
        <f>IFERROR(H15/H$28,"")</f>
        <v/>
      </c>
      <c r="I27" s="244">
        <f>IFERROR(I15/I$28,"")</f>
        <v/>
      </c>
      <c r="J27" s="244">
        <f>IFERROR(J15/J$28,"")</f>
        <v/>
      </c>
      <c r="K27" s="349">
        <f>IFERROR(AVERAGE(C27:J27),"")</f>
        <v/>
      </c>
    </row>
    <row r="28">
      <c r="B28" s="395" t="inlineStr">
        <is>
          <t>Sütun toplamı</t>
        </is>
      </c>
      <c r="C28" s="247">
        <f>SUM(C8:C15)</f>
        <v/>
      </c>
      <c r="D28" s="247">
        <f>SUM(D8:D15)</f>
        <v/>
      </c>
      <c r="E28" s="247">
        <f>SUM(E8:E15)</f>
        <v/>
      </c>
      <c r="F28" s="247">
        <f>SUM(F8:F15)</f>
        <v/>
      </c>
      <c r="G28" s="247">
        <f>SUM(G8:G15)</f>
        <v/>
      </c>
      <c r="H28" s="247">
        <f>SUM(H8:H15)</f>
        <v/>
      </c>
      <c r="I28" s="247">
        <f>SUM(I8:I15)</f>
        <v/>
      </c>
      <c r="J28" s="247">
        <f>SUM(J8:J15)</f>
        <v/>
      </c>
      <c r="K28" s="355" t="n"/>
    </row>
    <row r="29" hidden="1" s="452">
      <c r="B29" s="354" t="n"/>
      <c r="K29" s="355" t="n"/>
    </row>
    <row r="30" ht="15.75" customHeight="1" s="452" thickBot="1">
      <c r="B30" s="459" t="inlineStr">
        <is>
          <t>Ağırlık toplamı</t>
        </is>
      </c>
      <c r="C30" s="456" t="n"/>
      <c r="D30" s="456" t="n"/>
      <c r="E30" s="461" t="n"/>
      <c r="F30" s="461" t="n"/>
      <c r="G30" s="461" t="n"/>
      <c r="H30" s="461" t="n"/>
      <c r="I30" s="461" t="n"/>
      <c r="J30" s="461" t="n"/>
      <c r="K30" s="456">
        <f>SUM(K20:K27)</f>
        <v/>
      </c>
    </row>
    <row r="31" ht="15.75" customHeight="1" s="452" thickBot="1"/>
    <row r="32" ht="15.75" customHeight="1" s="452" thickBot="1">
      <c r="B32" s="455" t="inlineStr">
        <is>
          <t>3. Tutarlılık analizi</t>
        </is>
      </c>
      <c r="C32" s="438" t="n"/>
      <c r="D32" s="438" t="n"/>
      <c r="E32" s="438" t="n"/>
      <c r="F32" s="438" t="n"/>
      <c r="G32" s="438" t="n"/>
      <c r="H32" s="438" t="n"/>
      <c r="I32" s="438" t="n"/>
      <c r="J32" s="438" t="n"/>
      <c r="K32" s="439" t="n"/>
    </row>
    <row r="33">
      <c r="B33" s="371" t="inlineStr">
        <is>
          <t>λmax</t>
        </is>
      </c>
      <c r="C33" s="438" t="n"/>
      <c r="D33" s="438" t="n"/>
      <c r="E33" s="438" t="n"/>
      <c r="F33" s="438" t="n"/>
      <c r="G33" s="438" t="n"/>
      <c r="H33" s="438" t="n"/>
      <c r="I33" s="438" t="n"/>
      <c r="J33" s="438" t="n"/>
      <c r="K33" s="396">
        <f>C28*K20+D28*K21+E28*K22+F28*K23+G28*K24+H28*K25+I28*K26+J28*K27</f>
        <v/>
      </c>
    </row>
    <row r="34">
      <c r="B34" s="365" t="inlineStr">
        <is>
          <t>CI</t>
        </is>
      </c>
      <c r="K34" s="367">
        <f>IFERROR((K33-8)/(8-1),"")</f>
        <v/>
      </c>
    </row>
    <row r="35">
      <c r="B35" s="365" t="inlineStr">
        <is>
          <t>RI (n=8)</t>
        </is>
      </c>
      <c r="K35" s="367" t="n">
        <v>1.41</v>
      </c>
    </row>
    <row r="36">
      <c r="B36" s="365" t="inlineStr">
        <is>
          <t>CR</t>
        </is>
      </c>
      <c r="K36" s="367">
        <f>IFERROR(K34/K35,"")</f>
        <v/>
      </c>
    </row>
    <row r="37" ht="15.75" customHeight="1" s="452" thickBot="1">
      <c r="B37" s="368" t="inlineStr">
        <is>
          <t>Karar</t>
        </is>
      </c>
      <c r="C37" s="369" t="n"/>
      <c r="D37" s="369" t="n"/>
      <c r="E37" s="369" t="n"/>
      <c r="F37" s="369" t="n"/>
      <c r="G37" s="369" t="n"/>
      <c r="H37" s="369" t="n"/>
      <c r="I37" s="369" t="n"/>
      <c r="J37" s="369" t="n"/>
      <c r="K37" s="370">
        <f>IF(COUNT(D8,E8,F8,G8,H8,I8,J8,E9,F9,G9,H9,I9,J9,F10,G10,H10,I10,J10,G11,H11,I11,J11,H12,I12,J12,I13,J13,J14)&lt;28,"Veri bekleniyor",IF(K36&lt;=0.1,"Tutarlı (CR ≤ 0,10)","Gözden geçirilmeli (CR &gt; 0,10)"))</f>
        <v/>
      </c>
    </row>
  </sheetData>
  <mergeCells count="6">
    <mergeCell ref="B2:M2"/>
    <mergeCell ref="C4:M4"/>
    <mergeCell ref="B32:K32"/>
    <mergeCell ref="B18:J18"/>
    <mergeCell ref="L8:N15"/>
    <mergeCell ref="B6:J6"/>
  </mergeCells>
  <pageMargins left="0.75" right="0.75" top="1" bottom="1" header="0.5" footer="0.5"/>
</worksheet>
</file>

<file path=xl/worksheets/sheet21.xml><?xml version="1.0" encoding="utf-8"?>
<worksheet xmlns="http://schemas.openxmlformats.org/spreadsheetml/2006/main">
  <sheetPr codeName="Sayfa38">
    <outlinePr summaryBelow="1" summaryRight="1"/>
    <pageSetUpPr/>
  </sheetPr>
  <dimension ref="B2:J29"/>
  <sheetViews>
    <sheetView showGridLines="0" topLeftCell="A13" workbookViewId="0">
      <selection activeCell="B13" sqref="B1:G1048576"/>
    </sheetView>
  </sheetViews>
  <sheetFormatPr baseColWidth="8" defaultRowHeight="15"/>
  <cols>
    <col width="48" customWidth="1" style="452" min="2" max="2"/>
    <col width="18" customWidth="1" style="452" min="3" max="10"/>
  </cols>
  <sheetData>
    <row r="2" ht="18.75" customHeight="1" s="452">
      <c r="B2" s="436" t="inlineStr">
        <is>
          <t>Finans ve Operasyon → Bitkisel Üretim Göstergeleri AHP</t>
        </is>
      </c>
    </row>
    <row r="4">
      <c r="B4" s="238" t="inlineStr">
        <is>
          <t>Karşılaştırma düzeyi</t>
        </is>
      </c>
      <c r="C4" t="inlineStr">
        <is>
          <t>Finans ve Operasyon → Bitkisel Üretim</t>
        </is>
      </c>
    </row>
    <row r="5" ht="15.75" customHeight="1" s="452" thickBot="1"/>
    <row r="6" ht="15.75" customHeight="1" s="452" thickBot="1">
      <c r="B6" s="455" t="inlineStr">
        <is>
          <t>1. İkili karşılaştırma matrisi – sarı hücrelere giriş yapınız</t>
        </is>
      </c>
      <c r="C6" s="438" t="n"/>
      <c r="D6" s="438" t="n"/>
      <c r="E6" s="438" t="n"/>
      <c r="F6" s="439" t="n"/>
    </row>
    <row r="7" ht="62.1" customHeight="1" s="452">
      <c r="B7" s="374" t="n"/>
      <c r="C7" s="375" t="inlineStr">
        <is>
          <t>FO-85 Tarımsal Yoğunluk ve Birim Maliyet Yönetimi</t>
        </is>
      </c>
      <c r="D7" s="375" t="inlineStr">
        <is>
          <t>FO-86 Toprak Hazırlığı ve Koruyucu Tarım Kalitesi</t>
        </is>
      </c>
      <c r="E7" s="375" t="inlineStr">
        <is>
          <t>FO-87 Tarımsal Girdi Kaynaklı Karbon Ayak İzi</t>
        </is>
      </c>
      <c r="F7" s="376" t="inlineStr">
        <is>
          <t>FO-88 Ürün Deseninde Stratejik Esneklik</t>
        </is>
      </c>
      <c r="H7" s="238" t="inlineStr">
        <is>
          <t>Giriş açıklaması</t>
        </is>
      </c>
    </row>
    <row r="8" ht="32.1" customHeight="1" s="452">
      <c r="B8" s="377" t="inlineStr">
        <is>
          <t>FO-85 Tarımsal Yoğunluk ve Birim Maliyet Yönetimi</t>
        </is>
      </c>
      <c r="C8" s="261" t="n">
        <v>1</v>
      </c>
      <c r="D8" s="262" t="n">
        <v>2</v>
      </c>
      <c r="E8" s="262">
        <f>0.5</f>
        <v/>
      </c>
      <c r="F8" s="378" t="n">
        <v>3</v>
      </c>
      <c r="H8" s="435" t="inlineStr">
        <is>
          <t>Sarı hücrelere Saaty ölçeğinde 1–9 veya ters değerleri giriniz. Yeşil hücreler otomatik ters değerlerdir.</t>
        </is>
      </c>
    </row>
    <row r="9" ht="32.1" customHeight="1" s="452">
      <c r="B9" s="377" t="inlineStr">
        <is>
          <t>FO-86 Toprak Hazırlığı ve Koruyucu Tarım Kalitesi</t>
        </is>
      </c>
      <c r="C9" s="263">
        <f>IFERROR(1/D8,"")</f>
        <v/>
      </c>
      <c r="D9" s="261" t="n">
        <v>1</v>
      </c>
      <c r="E9" s="262">
        <f>1/3</f>
        <v/>
      </c>
      <c r="F9" s="378" t="n">
        <v>2</v>
      </c>
    </row>
    <row r="10" ht="32.1" customHeight="1" s="452">
      <c r="B10" s="377" t="inlineStr">
        <is>
          <t>FO-87 Tarımsal Girdi Kaynaklı Karbon Ayak İzi</t>
        </is>
      </c>
      <c r="C10" s="263">
        <f>IFERROR(1/E8,"")</f>
        <v/>
      </c>
      <c r="D10" s="263">
        <f>IFERROR(1/E9,"")</f>
        <v/>
      </c>
      <c r="E10" s="261" t="n">
        <v>1</v>
      </c>
      <c r="F10" s="378" t="n">
        <v>4</v>
      </c>
    </row>
    <row r="11" ht="32.1" customHeight="1" s="452" thickBot="1">
      <c r="B11" s="379" t="inlineStr">
        <is>
          <t>FO-88 Ürün Deseninde Stratejik Esneklik</t>
        </is>
      </c>
      <c r="C11" s="380">
        <f>IFERROR(1/F8,"")</f>
        <v/>
      </c>
      <c r="D11" s="380">
        <f>IFERROR(1/F9,"")</f>
        <v/>
      </c>
      <c r="E11" s="380">
        <f>IFERROR(1/F10,"")</f>
        <v/>
      </c>
      <c r="F11" s="381" t="n">
        <v>1</v>
      </c>
    </row>
    <row r="14" ht="15.75" customHeight="1" s="452" thickBot="1">
      <c r="B14" s="433" t="inlineStr">
        <is>
          <t>2. Normalize matris ve yerel ağırlıklar</t>
        </is>
      </c>
      <c r="G14" s="433" t="n"/>
    </row>
    <row r="15" ht="60" customHeight="1" s="452">
      <c r="B15" s="383" t="n"/>
      <c r="C15" s="383" t="inlineStr">
        <is>
          <t>FO-85 Tarımsal Yoğunluk ve Birim Maliyet Yönetimi</t>
        </is>
      </c>
      <c r="D15" s="383" t="inlineStr">
        <is>
          <t>FO-86 Toprak Hazırlığı ve Koruyucu Tarım Kalitesi</t>
        </is>
      </c>
      <c r="E15" s="383" t="inlineStr">
        <is>
          <t>FO-87 Tarımsal Girdi Kaynaklı Karbon Ayak İzi</t>
        </is>
      </c>
      <c r="F15" s="383" t="inlineStr">
        <is>
          <t>FO-88 Ürün Deseninde Stratejik Esneklik</t>
        </is>
      </c>
      <c r="G15" s="384" t="inlineStr">
        <is>
          <t>Yerel ağırlık</t>
        </is>
      </c>
    </row>
    <row r="16">
      <c r="B16" s="377" t="inlineStr">
        <is>
          <t>FO-85 Tarımsal Yoğunluk ve Birim Maliyet Yönetimi</t>
        </is>
      </c>
      <c r="C16" s="244">
        <f>IFERROR(C8/C$20,"")</f>
        <v/>
      </c>
      <c r="D16" s="244">
        <f>IFERROR(D8/D$20,"")</f>
        <v/>
      </c>
      <c r="E16" s="244">
        <f>IFERROR(E8/E$20,"")</f>
        <v/>
      </c>
      <c r="F16" s="244">
        <f>IFERROR(F8/F$20,"")</f>
        <v/>
      </c>
      <c r="G16" s="349">
        <f>IFERROR(AVERAGE(C16:F16),"")</f>
        <v/>
      </c>
    </row>
    <row r="17">
      <c r="B17" s="377" t="inlineStr">
        <is>
          <t>FO-86 Toprak Hazırlığı ve Koruyucu Tarım Kalitesi</t>
        </is>
      </c>
      <c r="C17" s="244">
        <f>IFERROR(C9/C$20,"")</f>
        <v/>
      </c>
      <c r="D17" s="244">
        <f>IFERROR(D9/D$20,"")</f>
        <v/>
      </c>
      <c r="E17" s="244">
        <f>IFERROR(E9/E$20,"")</f>
        <v/>
      </c>
      <c r="F17" s="244">
        <f>IFERROR(F9/F$20,"")</f>
        <v/>
      </c>
      <c r="G17" s="349">
        <f>IFERROR(AVERAGE(C17:F17),"")</f>
        <v/>
      </c>
    </row>
    <row r="18">
      <c r="B18" s="377" t="inlineStr">
        <is>
          <t>FO-87 Tarımsal Girdi Kaynaklı Karbon Ayak İzi</t>
        </is>
      </c>
      <c r="C18" s="244">
        <f>IFERROR(C10/C$20,"")</f>
        <v/>
      </c>
      <c r="D18" s="244">
        <f>IFERROR(D10/D$20,"")</f>
        <v/>
      </c>
      <c r="E18" s="244">
        <f>IFERROR(E10/E$20,"")</f>
        <v/>
      </c>
      <c r="F18" s="244">
        <f>IFERROR(F10/F$20,"")</f>
        <v/>
      </c>
      <c r="G18" s="349">
        <f>IFERROR(AVERAGE(C18:F18),"")</f>
        <v/>
      </c>
    </row>
    <row r="19">
      <c r="B19" s="377" t="inlineStr">
        <is>
          <t>FO-88 Ürün Deseninde Stratejik Esneklik</t>
        </is>
      </c>
      <c r="C19" s="244">
        <f>IFERROR(C11/C$20,"")</f>
        <v/>
      </c>
      <c r="D19" s="244">
        <f>IFERROR(D11/D$20,"")</f>
        <v/>
      </c>
      <c r="E19" s="244">
        <f>IFERROR(E11/E$20,"")</f>
        <v/>
      </c>
      <c r="F19" s="244">
        <f>IFERROR(F11/F$20,"")</f>
        <v/>
      </c>
      <c r="G19" s="349">
        <f>IFERROR(AVERAGE(C19:F19),"")</f>
        <v/>
      </c>
    </row>
    <row r="20">
      <c r="B20" s="395" t="inlineStr">
        <is>
          <t>Sütun toplamı</t>
        </is>
      </c>
      <c r="C20" s="247">
        <f>SUM(C8:C11)</f>
        <v/>
      </c>
      <c r="D20" s="247">
        <f>SUM(D8:D11)</f>
        <v/>
      </c>
      <c r="E20" s="247">
        <f>SUM(E8:E11)</f>
        <v/>
      </c>
      <c r="F20" s="247">
        <f>SUM(F8:F11)</f>
        <v/>
      </c>
      <c r="G20" s="355" t="n"/>
    </row>
    <row r="21" hidden="1" s="452">
      <c r="B21" s="354" t="n"/>
      <c r="G21" s="355" t="n"/>
    </row>
    <row r="22" ht="15.75" customHeight="1" s="452" thickBot="1">
      <c r="B22" s="460" t="inlineStr">
        <is>
          <t>Ağırlık toplamı</t>
        </is>
      </c>
      <c r="C22" s="461" t="n"/>
      <c r="D22" s="461" t="n"/>
      <c r="E22" s="461" t="n"/>
      <c r="F22" s="461" t="n"/>
      <c r="G22" s="456">
        <f>SUM(G16:G19)</f>
        <v/>
      </c>
    </row>
    <row r="23" ht="15.75" customHeight="1" s="452" thickBot="1"/>
    <row r="24" ht="15.75" customHeight="1" s="452" thickBot="1">
      <c r="B24" s="455" t="inlineStr">
        <is>
          <t>3. Tutarlılık analizi</t>
        </is>
      </c>
      <c r="C24" s="438" t="n"/>
      <c r="D24" s="438" t="n"/>
      <c r="E24" s="438" t="n"/>
      <c r="F24" s="438" t="n"/>
      <c r="G24" s="439" t="n"/>
    </row>
    <row r="25">
      <c r="B25" s="371" t="inlineStr">
        <is>
          <t>λmax</t>
        </is>
      </c>
      <c r="C25" s="438" t="n"/>
      <c r="D25" s="438" t="n"/>
      <c r="E25" s="438" t="n"/>
      <c r="F25" s="438" t="n"/>
      <c r="G25" s="396">
        <f>C20*G16+D20*G17+E20*G18+F20*G19</f>
        <v/>
      </c>
    </row>
    <row r="26">
      <c r="B26" s="365" t="inlineStr">
        <is>
          <t>CI</t>
        </is>
      </c>
      <c r="G26" s="367">
        <f>IFERROR((G25-4)/(4-1),"")</f>
        <v/>
      </c>
    </row>
    <row r="27">
      <c r="B27" s="365" t="inlineStr">
        <is>
          <t>RI (n=4)</t>
        </is>
      </c>
      <c r="G27" s="367" t="n">
        <v>0.9</v>
      </c>
    </row>
    <row r="28">
      <c r="B28" s="365" t="inlineStr">
        <is>
          <t>CR</t>
        </is>
      </c>
      <c r="G28" s="367">
        <f>IFERROR(G26/G27,"")</f>
        <v/>
      </c>
    </row>
    <row r="29" ht="15.75" customHeight="1" s="452" thickBot="1">
      <c r="B29" s="368" t="inlineStr">
        <is>
          <t>Karar</t>
        </is>
      </c>
      <c r="C29" s="369" t="n"/>
      <c r="D29" s="369" t="n"/>
      <c r="E29" s="369" t="n"/>
      <c r="F29" s="369" t="n"/>
      <c r="G29" s="370">
        <f>IF(COUNT(D8,E8,F8,E9,F9,F10)&lt;6,"Veri bekleniyor",IF(G28&lt;=0.1,"Tutarlı (CR ≤ 0,10)","Gözden geçirilmeli (CR &gt; 0,10)"))</f>
        <v/>
      </c>
    </row>
  </sheetData>
  <mergeCells count="6">
    <mergeCell ref="B24:G24"/>
    <mergeCell ref="B6:F6"/>
    <mergeCell ref="B2:I2"/>
    <mergeCell ref="C4:I4"/>
    <mergeCell ref="B14:F14"/>
    <mergeCell ref="H8:J1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E97"/>
  <sheetViews>
    <sheetView tabSelected="1" zoomScale="96" zoomScaleNormal="96" workbookViewId="0">
      <selection activeCell="T92" sqref="T92:Y97"/>
    </sheetView>
  </sheetViews>
  <sheetFormatPr baseColWidth="8" defaultColWidth="9.140625" defaultRowHeight="15"/>
  <cols>
    <col width="9.140625" customWidth="1" style="444" min="1" max="1"/>
    <col width="20.5703125" customWidth="1" style="444" min="2" max="3"/>
    <col width="12.5703125" customWidth="1" style="444" min="4" max="4"/>
    <col width="23.42578125" customWidth="1" style="444" min="5" max="5"/>
    <col width="16" customWidth="1" style="444" min="6" max="6"/>
    <col width="15.5703125" customWidth="1" style="444" min="7" max="7"/>
    <col width="18.42578125" customWidth="1" style="444" min="8" max="8"/>
    <col width="16" customWidth="1" style="444" min="9" max="9"/>
    <col width="12" customWidth="1" style="444" min="10" max="10"/>
    <col width="28.5703125" customWidth="1" style="444" min="11" max="11"/>
    <col width="27" customWidth="1" style="444" min="12" max="12"/>
    <col width="9.140625" customWidth="1" style="444" min="13" max="13"/>
    <col width="30.42578125" customWidth="1" style="444" min="14" max="14"/>
    <col width="9.140625" customWidth="1" style="444" min="15" max="15"/>
    <col width="28.28515625" customWidth="1" style="444" min="16" max="16"/>
    <col width="9.140625" customWidth="1" style="444" min="17" max="21"/>
    <col width="9.7109375" customWidth="1" style="444" min="22" max="22"/>
    <col width="9.140625" customWidth="1" style="444" min="23" max="23"/>
    <col width="10.85546875" customWidth="1" style="444" min="24" max="24"/>
    <col width="9.140625" customWidth="1" style="444" min="25" max="26"/>
    <col width="11.5703125" customWidth="1" style="444" min="27" max="28"/>
    <col width="9.140625" customWidth="1" style="444" min="29" max="30"/>
    <col width="12.140625" customWidth="1" style="444" min="31" max="32"/>
    <col width="23.28515625" customWidth="1" style="444" min="33" max="33"/>
    <col width="12" customWidth="1" style="444" min="34" max="34"/>
    <col width="11.5703125" customWidth="1" style="444" min="35" max="36"/>
    <col width="9.140625" customWidth="1" style="444" min="37" max="37"/>
    <col width="11.5703125" customWidth="1" style="444" min="38" max="39"/>
    <col width="11.42578125" customWidth="1" style="444" min="40" max="59"/>
    <col width="11.42578125" bestFit="1" customWidth="1" style="444" min="60" max="83"/>
    <col width="9.140625" customWidth="1" style="444" min="84" max="16384"/>
  </cols>
  <sheetData>
    <row r="1" ht="14.45" customHeight="1" s="452">
      <c r="U1" s="443" t="inlineStr">
        <is>
          <t>Senaryo 1:Yeni AHP Çalışması Sonucu</t>
        </is>
      </c>
      <c r="V1" s="463" t="n"/>
      <c r="W1" s="463" t="n"/>
      <c r="X1" s="463" t="n"/>
      <c r="Y1" s="463" t="n"/>
      <c r="Z1" s="432" t="n"/>
      <c r="AA1" s="464" t="inlineStr">
        <is>
          <t>Senaryo 2: Makaledeki AHP Çalışması</t>
        </is>
      </c>
      <c r="AB1" s="465" t="n"/>
      <c r="AC1" s="465" t="n"/>
      <c r="AD1" s="465" t="n"/>
      <c r="AE1" s="465" t="n"/>
      <c r="AF1" s="466" t="n"/>
      <c r="AG1" s="464" t="inlineStr">
        <is>
          <t>Senaryo 3:  25:25:25:25</t>
        </is>
      </c>
      <c r="AH1" s="465" t="n"/>
      <c r="AI1" s="465" t="n"/>
      <c r="AJ1" s="465" t="n"/>
      <c r="AK1" s="465" t="n"/>
      <c r="AL1" s="466" t="n"/>
      <c r="AM1" s="447" t="n"/>
      <c r="AN1" s="464" t="inlineStr">
        <is>
          <t>Senaryo 4:  25:25:25:25; Alt Bloklar eşit25:25:25:25</t>
        </is>
      </c>
      <c r="AO1" s="465" t="n"/>
      <c r="AP1" s="465" t="n"/>
      <c r="AQ1" s="465" t="n"/>
      <c r="AR1" s="465" t="n"/>
      <c r="AS1" s="466" t="n"/>
      <c r="AT1" s="464" t="inlineStr">
        <is>
          <t>Senaryo 5:  25:25:25:25; Alt Bloklar 25:25:25:25; Göstergeler eşit</t>
        </is>
      </c>
      <c r="AU1" s="465" t="n"/>
      <c r="AV1" s="465" t="n"/>
      <c r="AW1" s="465" t="n"/>
      <c r="AX1" s="465" t="n"/>
      <c r="AY1" s="465" t="n"/>
      <c r="AZ1" s="465" t="n"/>
      <c r="BA1" s="466" t="n"/>
      <c r="BB1" s="464" t="inlineStr">
        <is>
          <t>Senaryo 6: 40:20:20:20</t>
        </is>
      </c>
      <c r="BC1" s="465" t="n"/>
      <c r="BD1" s="465" t="n"/>
      <c r="BE1" s="465" t="n"/>
      <c r="BF1" s="465" t="n"/>
      <c r="BG1" s="466" t="n"/>
      <c r="BH1" s="464" t="inlineStr">
        <is>
          <t>Senaryo 7:  20:40:20:20</t>
        </is>
      </c>
      <c r="BI1" s="465" t="n"/>
      <c r="BJ1" s="465" t="n"/>
      <c r="BK1" s="465" t="n"/>
      <c r="BL1" s="465" t="n"/>
      <c r="BM1" s="466" t="n"/>
      <c r="BN1" s="464" t="inlineStr">
        <is>
          <t>Senaryo8:  20:20:40:20</t>
        </is>
      </c>
      <c r="BO1" s="465" t="n"/>
      <c r="BP1" s="465" t="n"/>
      <c r="BQ1" s="465" t="n"/>
      <c r="BR1" s="465" t="n"/>
      <c r="BS1" s="466" t="n"/>
      <c r="BT1" s="464" t="inlineStr">
        <is>
          <t>Senaryo9:  20:20:20:40</t>
        </is>
      </c>
      <c r="BU1" s="465" t="n"/>
      <c r="BV1" s="465" t="n"/>
      <c r="BW1" s="465" t="n"/>
      <c r="BX1" s="465" t="n"/>
      <c r="BY1" s="466" t="n"/>
      <c r="BZ1" s="464" t="inlineStr">
        <is>
          <t>Senaryo10:  34:33:33:0</t>
        </is>
      </c>
      <c r="CA1" s="465" t="n"/>
      <c r="CB1" s="465" t="n"/>
      <c r="CC1" s="465" t="n"/>
      <c r="CD1" s="465" t="n"/>
      <c r="CE1" s="466" t="n"/>
    </row>
    <row r="2" ht="15" customHeight="1" s="452">
      <c r="A2" s="443" t="n"/>
      <c r="B2" s="443" t="n"/>
      <c r="C2" s="443" t="n"/>
      <c r="D2" s="443" t="inlineStr">
        <is>
          <t>Makale</t>
        </is>
      </c>
      <c r="E2" s="432" t="n"/>
      <c r="G2" s="443" t="inlineStr">
        <is>
          <t>Yeni AHP Çalışması</t>
        </is>
      </c>
      <c r="H2" s="463" t="n"/>
      <c r="I2" s="463" t="n"/>
      <c r="J2" s="432" t="n"/>
      <c r="L2" s="443" t="inlineStr">
        <is>
          <t>İşletmelerin Sürdürülebilirlik Ham Puanları</t>
        </is>
      </c>
      <c r="M2" s="463" t="n"/>
      <c r="N2" s="463" t="n"/>
      <c r="O2" s="463" t="n"/>
      <c r="P2" s="463" t="n"/>
      <c r="Q2" s="432" t="n"/>
      <c r="R2" s="443" t="inlineStr">
        <is>
          <t>100'lük Skala Puanı</t>
        </is>
      </c>
      <c r="S2" s="463" t="n"/>
      <c r="T2" s="432" t="n"/>
      <c r="U2" s="443" t="inlineStr">
        <is>
          <t>Sürdürülebilirlik Puanına Etkisi</t>
        </is>
      </c>
      <c r="V2" s="463" t="n"/>
      <c r="W2" s="463" t="n"/>
      <c r="X2" s="463" t="n"/>
      <c r="Y2" s="463" t="n"/>
      <c r="Z2" s="432" t="n"/>
      <c r="AA2" s="464" t="inlineStr">
        <is>
          <t>Sürdürülebilirlik Puanına Etkisi</t>
        </is>
      </c>
      <c r="AB2" s="465" t="n"/>
      <c r="AC2" s="465" t="n"/>
      <c r="AD2" s="465" t="n"/>
      <c r="AE2" s="465" t="n"/>
      <c r="AF2" s="466" t="n"/>
      <c r="AG2" s="464" t="inlineStr">
        <is>
          <t>Sürdürülebilirlik Puanına Etkisi</t>
        </is>
      </c>
      <c r="AH2" s="465" t="n"/>
      <c r="AI2" s="465" t="n"/>
      <c r="AJ2" s="465" t="n"/>
      <c r="AK2" s="465" t="n"/>
      <c r="AL2" s="466" t="n"/>
      <c r="AM2" s="447" t="n"/>
      <c r="AN2" s="464" t="inlineStr">
        <is>
          <t>Sürdürülebilirlik Puanına Etkisi</t>
        </is>
      </c>
      <c r="AO2" s="465" t="n"/>
      <c r="AP2" s="465" t="n"/>
      <c r="AQ2" s="465" t="n"/>
      <c r="AR2" s="465" t="n"/>
      <c r="AS2" s="466" t="n"/>
      <c r="AT2" s="447" t="n"/>
      <c r="AU2" s="447" t="n"/>
      <c r="AV2" s="464" t="inlineStr">
        <is>
          <t>Sürdürülebilirlik Puanına Etkisi</t>
        </is>
      </c>
      <c r="AW2" s="465" t="n"/>
      <c r="AX2" s="465" t="n"/>
      <c r="AY2" s="465" t="n"/>
      <c r="AZ2" s="465" t="n"/>
      <c r="BA2" s="466" t="n"/>
      <c r="BB2" s="464" t="inlineStr">
        <is>
          <t>Sürdürülebilirlik Puanına Etkisi</t>
        </is>
      </c>
      <c r="BC2" s="465" t="n"/>
      <c r="BD2" s="465" t="n"/>
      <c r="BE2" s="465" t="n"/>
      <c r="BF2" s="465" t="n"/>
      <c r="BG2" s="466" t="n"/>
      <c r="BH2" s="464" t="inlineStr">
        <is>
          <t>Sürdürülebilirlik Puanına Etkisi</t>
        </is>
      </c>
      <c r="BI2" s="465" t="n"/>
      <c r="BJ2" s="465" t="n"/>
      <c r="BK2" s="465" t="n"/>
      <c r="BL2" s="465" t="n"/>
      <c r="BM2" s="466" t="n"/>
      <c r="BN2" s="464" t="inlineStr">
        <is>
          <t>Sürdürülebilirlik Puanına Etkisi</t>
        </is>
      </c>
      <c r="BO2" s="465" t="n"/>
      <c r="BP2" s="465" t="n"/>
      <c r="BQ2" s="465" t="n"/>
      <c r="BR2" s="465" t="n"/>
      <c r="BS2" s="466" t="n"/>
      <c r="BT2" s="464" t="inlineStr">
        <is>
          <t>Sürdürülebilirlik Puanına Etkisi</t>
        </is>
      </c>
      <c r="BU2" s="465" t="n"/>
      <c r="BV2" s="465" t="n"/>
      <c r="BW2" s="465" t="n"/>
      <c r="BX2" s="465" t="n"/>
      <c r="BY2" s="466" t="n"/>
      <c r="BZ2" s="464" t="inlineStr">
        <is>
          <t>Sürdürülebilirlik Puanına Etkisi</t>
        </is>
      </c>
      <c r="CA2" s="465" t="n"/>
      <c r="CB2" s="465" t="n"/>
      <c r="CC2" s="465" t="n"/>
      <c r="CD2" s="465" t="n"/>
      <c r="CE2" s="466" t="n"/>
    </row>
    <row r="3" ht="45" customFormat="1" customHeight="1" s="288">
      <c r="A3" s="305" t="inlineStr">
        <is>
          <t xml:space="preserve">Gösterge </t>
        </is>
      </c>
      <c r="B3" s="305" t="n"/>
      <c r="C3" s="305" t="inlineStr">
        <is>
          <t>Göstergenin seçilme sebebi</t>
        </is>
      </c>
      <c r="D3" s="305" t="inlineStr">
        <is>
          <t>W(ana blok)</t>
        </is>
      </c>
      <c r="E3" s="312" t="inlineStr">
        <is>
          <t>W gösterge*Walt kategori</t>
        </is>
      </c>
      <c r="F3" s="312" t="inlineStr">
        <is>
          <t>Wk</t>
        </is>
      </c>
      <c r="G3" s="305" t="inlineStr">
        <is>
          <t>Ana Blok Ağırlığı</t>
        </is>
      </c>
      <c r="H3" s="305" t="inlineStr">
        <is>
          <t>Alt Kategori Ağırlığı</t>
        </is>
      </c>
      <c r="I3" s="305" t="inlineStr">
        <is>
          <t>Gösterge Ağırlığı</t>
        </is>
      </c>
      <c r="J3" s="312" t="inlineStr">
        <is>
          <t>Wt</t>
        </is>
      </c>
      <c r="K3" s="312" t="inlineStr">
        <is>
          <t>w alt kategori*w göst</t>
        </is>
      </c>
      <c r="L3" s="305" t="inlineStr">
        <is>
          <t>CYL Açıklama</t>
        </is>
      </c>
      <c r="M3" s="305" t="inlineStr">
        <is>
          <t>Xjk CYL</t>
        </is>
      </c>
      <c r="N3" s="305" t="inlineStr">
        <is>
          <t>KRC Açıklama</t>
        </is>
      </c>
      <c r="O3" s="305" t="inlineStr">
        <is>
          <t>Xjk KRC</t>
        </is>
      </c>
      <c r="P3" s="305" t="inlineStr">
        <is>
          <t>GZL Açıklama</t>
        </is>
      </c>
      <c r="Q3" s="305" t="inlineStr">
        <is>
          <t>Xjk GZL</t>
        </is>
      </c>
      <c r="R3" s="305" t="inlineStr">
        <is>
          <t>CYL</t>
        </is>
      </c>
      <c r="S3" s="305" t="inlineStr">
        <is>
          <t>KRC</t>
        </is>
      </c>
      <c r="T3" s="305" t="inlineStr">
        <is>
          <t>GZL</t>
        </is>
      </c>
      <c r="U3" s="305" t="inlineStr">
        <is>
          <t>CYL</t>
        </is>
      </c>
      <c r="V3" s="305" t="inlineStr">
        <is>
          <t xml:space="preserve"> CYL Xij*wi*wk</t>
        </is>
      </c>
      <c r="W3" s="305" t="inlineStr">
        <is>
          <t>KRC</t>
        </is>
      </c>
      <c r="X3" s="305" t="inlineStr">
        <is>
          <t>KRC Xij*wi*wk</t>
        </is>
      </c>
      <c r="Y3" s="305" t="inlineStr">
        <is>
          <t>GZL</t>
        </is>
      </c>
      <c r="Z3" s="305" t="inlineStr">
        <is>
          <t>GZL Xij*wi*wk</t>
        </is>
      </c>
      <c r="AA3" s="305" t="inlineStr">
        <is>
          <t>CYL</t>
        </is>
      </c>
      <c r="AB3" s="305" t="inlineStr">
        <is>
          <t xml:space="preserve"> CYL Xij*wi*wk</t>
        </is>
      </c>
      <c r="AC3" s="305" t="inlineStr">
        <is>
          <t>KRC</t>
        </is>
      </c>
      <c r="AD3" s="305" t="inlineStr">
        <is>
          <t>KRC Xij*wi*wk</t>
        </is>
      </c>
      <c r="AE3" s="305" t="inlineStr">
        <is>
          <t>GZL</t>
        </is>
      </c>
      <c r="AF3" s="305" t="inlineStr">
        <is>
          <t>GZL Xij*wi*wk</t>
        </is>
      </c>
      <c r="AG3" s="305" t="inlineStr">
        <is>
          <t>CYL</t>
        </is>
      </c>
      <c r="AH3" s="305" t="inlineStr">
        <is>
          <t xml:space="preserve"> CYL Xij*wi*wk</t>
        </is>
      </c>
      <c r="AI3" s="305" t="inlineStr">
        <is>
          <t>KRC</t>
        </is>
      </c>
      <c r="AJ3" s="305" t="inlineStr">
        <is>
          <t>KRC Xij*wi*wk</t>
        </is>
      </c>
      <c r="AK3" s="305" t="inlineStr">
        <is>
          <t>GZL</t>
        </is>
      </c>
      <c r="AL3" s="305" t="inlineStr">
        <is>
          <t>GZL Xij*wi*wk</t>
        </is>
      </c>
      <c r="AM3" s="305" t="inlineStr">
        <is>
          <t>Wk</t>
        </is>
      </c>
      <c r="AN3" s="305" t="inlineStr">
        <is>
          <t>CYL</t>
        </is>
      </c>
      <c r="AO3" s="305" t="inlineStr">
        <is>
          <t xml:space="preserve"> CYL Xij*wi*wk</t>
        </is>
      </c>
      <c r="AP3" s="305" t="inlineStr">
        <is>
          <t>KRC</t>
        </is>
      </c>
      <c r="AQ3" s="305" t="inlineStr">
        <is>
          <t>KRC Xij*wi*wk</t>
        </is>
      </c>
      <c r="AR3" s="305" t="inlineStr">
        <is>
          <t>GZL</t>
        </is>
      </c>
      <c r="AS3" s="305" t="inlineStr">
        <is>
          <t>GZL Xij*wi*wk</t>
        </is>
      </c>
      <c r="AT3" s="305" t="inlineStr">
        <is>
          <t>Wi</t>
        </is>
      </c>
      <c r="AU3" s="305" t="inlineStr">
        <is>
          <t>Wk</t>
        </is>
      </c>
      <c r="AV3" s="305" t="inlineStr">
        <is>
          <t>CYL</t>
        </is>
      </c>
      <c r="AW3" s="305" t="inlineStr">
        <is>
          <t xml:space="preserve"> CYL Xij*wi*wk</t>
        </is>
      </c>
      <c r="AX3" s="305" t="inlineStr">
        <is>
          <t>KRC</t>
        </is>
      </c>
      <c r="AY3" s="305" t="inlineStr">
        <is>
          <t>KRC Xij*wi*wk</t>
        </is>
      </c>
      <c r="AZ3" s="305" t="inlineStr">
        <is>
          <t>GZL</t>
        </is>
      </c>
      <c r="BA3" s="305" t="inlineStr">
        <is>
          <t>GZL Xij*wi*wk</t>
        </is>
      </c>
      <c r="BB3" s="305" t="inlineStr">
        <is>
          <t>CYL</t>
        </is>
      </c>
      <c r="BC3" s="305" t="inlineStr">
        <is>
          <t xml:space="preserve"> CYL Xij*wi*wk</t>
        </is>
      </c>
      <c r="BD3" s="305" t="inlineStr">
        <is>
          <t>KRC</t>
        </is>
      </c>
      <c r="BE3" s="305" t="inlineStr">
        <is>
          <t>KRC Xij*wi*wk</t>
        </is>
      </c>
      <c r="BF3" s="305" t="inlineStr">
        <is>
          <t>GZL</t>
        </is>
      </c>
      <c r="BG3" s="305" t="inlineStr">
        <is>
          <t>GZL Xij*wi*wk</t>
        </is>
      </c>
      <c r="BH3" s="305" t="inlineStr">
        <is>
          <t>CYL</t>
        </is>
      </c>
      <c r="BI3" s="305" t="inlineStr">
        <is>
          <t xml:space="preserve"> CYL Xij*wi*wk</t>
        </is>
      </c>
      <c r="BJ3" s="305" t="inlineStr">
        <is>
          <t>KRC</t>
        </is>
      </c>
      <c r="BK3" s="305" t="inlineStr">
        <is>
          <t>KRC Xij*wi*wk</t>
        </is>
      </c>
      <c r="BL3" s="305" t="inlineStr">
        <is>
          <t>GZL</t>
        </is>
      </c>
      <c r="BM3" s="305" t="inlineStr">
        <is>
          <t>GZL Xij*wi*wk</t>
        </is>
      </c>
      <c r="BN3" s="305" t="inlineStr">
        <is>
          <t>CYL</t>
        </is>
      </c>
      <c r="BO3" s="305" t="inlineStr">
        <is>
          <t xml:space="preserve"> CYL Xij*wi*wk</t>
        </is>
      </c>
      <c r="BP3" s="305" t="inlineStr">
        <is>
          <t>KRC</t>
        </is>
      </c>
      <c r="BQ3" s="305" t="inlineStr">
        <is>
          <t>KRC Xij*wi*wk</t>
        </is>
      </c>
      <c r="BR3" s="305" t="inlineStr">
        <is>
          <t>GZL</t>
        </is>
      </c>
      <c r="BS3" s="305" t="inlineStr">
        <is>
          <t>GZL Xij*wi*wk</t>
        </is>
      </c>
      <c r="BT3" s="305" t="inlineStr">
        <is>
          <t>CYL</t>
        </is>
      </c>
      <c r="BU3" s="305" t="inlineStr">
        <is>
          <t xml:space="preserve"> CYL Xij*wi*wk</t>
        </is>
      </c>
      <c r="BV3" s="305" t="inlineStr">
        <is>
          <t>KRC</t>
        </is>
      </c>
      <c r="BW3" s="305" t="inlineStr">
        <is>
          <t>KRC Xij*wi*wk</t>
        </is>
      </c>
      <c r="BX3" s="305" t="inlineStr">
        <is>
          <t>GZL</t>
        </is>
      </c>
      <c r="BY3" s="305" t="inlineStr">
        <is>
          <t>GZL Xij*wi*wk</t>
        </is>
      </c>
      <c r="BZ3" s="305" t="inlineStr">
        <is>
          <t>CYL</t>
        </is>
      </c>
      <c r="CA3" s="305" t="inlineStr">
        <is>
          <t xml:space="preserve"> CYL Xij*wi*wk</t>
        </is>
      </c>
      <c r="CB3" s="305" t="inlineStr">
        <is>
          <t>KRC</t>
        </is>
      </c>
      <c r="CC3" s="305" t="inlineStr">
        <is>
          <t>KRC Xij*wi*wk</t>
        </is>
      </c>
      <c r="CD3" s="305" t="inlineStr">
        <is>
          <t>GZL</t>
        </is>
      </c>
      <c r="CE3" s="305" t="inlineStr">
        <is>
          <t>GZL Xij*wi*wk</t>
        </is>
      </c>
    </row>
    <row r="4" ht="180" customFormat="1" customHeight="1" s="270">
      <c r="A4" s="270" t="n">
        <v>1</v>
      </c>
      <c r="B4" s="269" t="inlineStr">
        <is>
          <t>Enerji Kaynağı(Fosil, Elektrik, Yenilenebilir)</t>
        </is>
      </c>
      <c r="C4" s="269" t="inlineStr">
        <is>
          <t>işletmenin ana enerji bağımlılığını belirler. Şebeke elektriğinin payı, su yönetimi maliyetiyle doğrudan ilişkilidir.</t>
        </is>
      </c>
      <c r="D4" s="270">
        <f>ESG_FO_Makale!$G$17</f>
        <v/>
      </c>
      <c r="E4" s="270" t="n">
        <v>0.0625</v>
      </c>
      <c r="F4" s="270">
        <f>D4*E4</f>
        <v/>
      </c>
      <c r="G4" s="270">
        <f>ESG_FO_AnaBlok!G17</f>
        <v/>
      </c>
      <c r="H4" s="270">
        <f>E_AltGruplar!$G$16</f>
        <v/>
      </c>
      <c r="I4" s="270">
        <f>E_EnerjiEmis!J19</f>
        <v/>
      </c>
      <c r="J4" s="270">
        <f>G4*H4*I4</f>
        <v/>
      </c>
      <c r="K4" s="270">
        <f>H4*I4</f>
        <v/>
      </c>
      <c r="L4" s="270" t="inlineStr">
        <is>
          <t>İşletmenin enerji karmasında şebeke elektriği ile GES ve biyogaz gibi yenilenebilir enerji projeleri birlikte yer almaktadır. Bununla birlikte, yenilenebilir kaynakların mevcut toplam tüketim içindeki payının sınırlı olduğunu göstermektedir. GES kapsamının artırılması çalışmaları bulunmaktadır.</t>
        </is>
      </c>
      <c r="M4" s="270" t="n">
        <v>3</v>
      </c>
      <c r="N4" s="270" t="inlineStr">
        <is>
          <t xml:space="preserve"> İşletmenin enerji karmasında şebeke elektriği, kömür, LPG, CNG, benzin ve motorin tüketimleri bulunmaktadır. GES kullanımının yalnızca lojmanlarla sınırlıdır. Enerji türlerinin ayrıntılı biçimde envanterlenmesi olumlu olmakla birlikte, fosil yakıt bağımlılığı ve yenilenebilir enerji payının sınırlı olması nedeniyle gösterge orta-alt düzeyde puanlanmıştır.</t>
        </is>
      </c>
      <c r="O4" s="271" t="n">
        <v>2</v>
      </c>
      <c r="P4" s="270" t="inlineStr">
        <is>
          <t>İşletmenin enerji kullanımı ağırlıklı olarak şebeke elektriği ve fosil yakıtlara dayanmaktadır; enerji türlerinin ayrıştırılması ve emisyon hesabına elverişli kayıtların bulunması olumlu bir izlenebilirlik unsurudur. Ancak enerji karmasının fosil yakıt ağırlığı nedeniyle performans puanı sınırlı tutulmuştur.</t>
        </is>
      </c>
      <c r="Q4" s="270" t="n">
        <v>2</v>
      </c>
      <c r="R4" s="270">
        <f>100*(M4-1)/4</f>
        <v/>
      </c>
      <c r="S4" s="270">
        <f>100*(O4-1)/4</f>
        <v/>
      </c>
      <c r="T4" s="270">
        <f>100*(Q4-1)/4</f>
        <v/>
      </c>
      <c r="U4" s="270">
        <f>R4*$J4</f>
        <v/>
      </c>
      <c r="V4" s="270">
        <f>R4*K4</f>
        <v/>
      </c>
      <c r="W4" s="270">
        <f>S4*$J4</f>
        <v/>
      </c>
      <c r="X4" s="270">
        <f>S4*K4</f>
        <v/>
      </c>
      <c r="Y4" s="270">
        <f>T4*$J4</f>
        <v/>
      </c>
      <c r="Z4" s="270">
        <f>T4*K4</f>
        <v/>
      </c>
      <c r="AA4" s="270">
        <f>R4*F4</f>
        <v/>
      </c>
      <c r="AB4" s="270">
        <f>R4*E4</f>
        <v/>
      </c>
      <c r="AC4" s="270">
        <f>S4*F4</f>
        <v/>
      </c>
      <c r="AD4" s="270">
        <f>S4*E4</f>
        <v/>
      </c>
      <c r="AE4" s="270">
        <f>T4*F4</f>
        <v/>
      </c>
      <c r="AF4" s="270">
        <f>T4*E4</f>
        <v/>
      </c>
      <c r="AG4" s="283">
        <f>R4*0.25*$K4</f>
        <v/>
      </c>
      <c r="AH4" s="283">
        <f>K4*R4</f>
        <v/>
      </c>
      <c r="AI4" s="283">
        <f>S4*0.25*$K4</f>
        <v/>
      </c>
      <c r="AJ4" s="283">
        <f>S4*K4</f>
        <v/>
      </c>
      <c r="AK4" s="283">
        <f>T4*0.25*$K4</f>
        <v/>
      </c>
      <c r="AL4" s="283">
        <f>K4*T4</f>
        <v/>
      </c>
      <c r="AM4" s="283" t="n">
        <v>0.25</v>
      </c>
      <c r="AN4" s="270">
        <f>R4*I4*AM4*0.25</f>
        <v/>
      </c>
      <c r="AO4" s="270">
        <f>R4*I4*AM4</f>
        <v/>
      </c>
      <c r="AP4" s="270">
        <f>S4*I4*AM4*0.25</f>
        <v/>
      </c>
      <c r="AQ4" s="270">
        <f>S4*I4*AM4</f>
        <v/>
      </c>
      <c r="AR4" s="270">
        <f>T4*I4*AM4*0.25</f>
        <v/>
      </c>
      <c r="AS4" s="270">
        <f>T4*I4*AM4</f>
        <v/>
      </c>
      <c r="AT4" s="270">
        <f>1/7</f>
        <v/>
      </c>
      <c r="AU4" s="283" t="n">
        <v>0.25</v>
      </c>
      <c r="AV4" s="270">
        <f>R4*AT4*AU4*0.25</f>
        <v/>
      </c>
      <c r="AW4" s="270">
        <f>R4*AT4*AU4</f>
        <v/>
      </c>
      <c r="AX4" s="270">
        <f>S4*AT4*AU4*0.25</f>
        <v/>
      </c>
      <c r="AY4" s="270">
        <f>S4*AT4*AU4</f>
        <v/>
      </c>
      <c r="AZ4" s="270">
        <f>T4*AT4*AU4*0.25</f>
        <v/>
      </c>
      <c r="BA4" s="270">
        <f>T4*AT4*AU4</f>
        <v/>
      </c>
      <c r="BB4" s="270">
        <f>R4*K4*0.4</f>
        <v/>
      </c>
      <c r="BC4" s="270">
        <f>R4*K4</f>
        <v/>
      </c>
      <c r="BD4" s="270">
        <f>S4*K4*0.4</f>
        <v/>
      </c>
      <c r="BE4" s="270">
        <f>S4*K4</f>
        <v/>
      </c>
      <c r="BF4" s="270">
        <f>T4*K4*0.4</f>
        <v/>
      </c>
      <c r="BG4" s="308">
        <f>T4*K4</f>
        <v/>
      </c>
      <c r="BH4" s="308">
        <f>R4*K4*0.2</f>
        <v/>
      </c>
      <c r="BI4" s="308">
        <f>R4*K4</f>
        <v/>
      </c>
      <c r="BJ4" s="308">
        <f>S4*K4*0.2</f>
        <v/>
      </c>
      <c r="BK4" s="308">
        <f>S4*K4</f>
        <v/>
      </c>
      <c r="BL4" s="308">
        <f>T4*K4*0.2</f>
        <v/>
      </c>
      <c r="BM4" s="311">
        <f>T4*K4</f>
        <v/>
      </c>
      <c r="BN4" s="311">
        <f>R4*K4*0.2</f>
        <v/>
      </c>
      <c r="BO4" s="311">
        <f>K4*R4</f>
        <v/>
      </c>
      <c r="BP4" s="311">
        <f>S4*K4*0.2</f>
        <v/>
      </c>
      <c r="BQ4" s="311">
        <f>K4*S4</f>
        <v/>
      </c>
      <c r="BR4" s="311">
        <f>K4*T4*0.2</f>
        <v/>
      </c>
      <c r="BS4" s="270">
        <f>K4*T4</f>
        <v/>
      </c>
      <c r="BT4" s="270">
        <f>R4*K4*0.2</f>
        <v/>
      </c>
      <c r="BU4" s="270">
        <f>R4*K4</f>
        <v/>
      </c>
      <c r="BV4" s="270">
        <f>S4*K4*0.2</f>
        <v/>
      </c>
      <c r="BW4" s="270">
        <f>S4*K4</f>
        <v/>
      </c>
      <c r="BX4" s="270">
        <f>T4*K4*0.2</f>
        <v/>
      </c>
      <c r="BY4" s="270">
        <f>T4*K4</f>
        <v/>
      </c>
      <c r="BZ4" s="270">
        <f>R4*K4*0.34</f>
        <v/>
      </c>
      <c r="CA4" s="270">
        <f>R4*K4</f>
        <v/>
      </c>
      <c r="CB4" s="270">
        <f>S4*K4*0.34</f>
        <v/>
      </c>
      <c r="CC4" s="270">
        <f>S4*K4</f>
        <v/>
      </c>
      <c r="CD4" s="270">
        <f>T4*K4*0.34</f>
        <v/>
      </c>
      <c r="CE4" s="270">
        <f>T4*K4</f>
        <v/>
      </c>
    </row>
    <row r="5" ht="195" customFormat="1" customHeight="1" s="270">
      <c r="A5" s="270" t="n">
        <v>2</v>
      </c>
      <c r="B5" s="269" t="inlineStr">
        <is>
          <t>Yıllık toplam enerji tüketimi (kWh/litre)</t>
        </is>
      </c>
      <c r="C5" s="269" t="inlineStr">
        <is>
          <t>İşletmenin genel büyüklüğü ile enerji kullanımı arasındaki dengeyi gösterir. Verimliliğin ham verisidir.</t>
        </is>
      </c>
      <c r="D5" s="270">
        <f>ESG_FO_Makale!$G$17</f>
        <v/>
      </c>
      <c r="E5" s="270" t="n">
        <v>0.0375</v>
      </c>
      <c r="F5" s="270">
        <f>D5*E5</f>
        <v/>
      </c>
      <c r="G5" s="270">
        <f>ESG_FO_AnaBlok!$G$17</f>
        <v/>
      </c>
      <c r="H5" s="270">
        <f>E_AltGruplar!$G$16</f>
        <v/>
      </c>
      <c r="I5" s="270">
        <f>E_EnerjiEmis!J20</f>
        <v/>
      </c>
      <c r="J5" s="270">
        <f>G5*H5*I5</f>
        <v/>
      </c>
      <c r="K5" s="270">
        <f>H5*I5</f>
        <v/>
      </c>
      <c r="L5" s="270" t="inlineStr">
        <is>
          <t>1.5 milyar MJ seviyesinde yüksek ölçekli bir tüketim olsa da, tüm yakıt türleri bazında (LPG, Fuel-oil, Motorin) hassas bir envanter takibi yapılmaktadır. Puan, toplam tüketimin düşük olduğunu değil, enerji girdilerinin farklı kaynaklar itibarıyla izlenmesi ve hesaplamaya elverişli biçimde envanterlenmesi durumunu yansıtmaktadır.</t>
        </is>
      </c>
      <c r="M5" s="270" t="n">
        <v>4</v>
      </c>
      <c r="N5" s="270" t="inlineStr">
        <is>
          <t>Toplam enerji kullanımı yaklaşık 483,9 milyon MJ olarak hesaplanmıştır. Enerji kaynaklarının miktar ve dönüşüm katsayılarıyla birlikte kaydedilmesi ölçüm ve raporlama bakımından olumlu bir unsurdur</t>
        </is>
      </c>
      <c r="O5" s="271" t="n">
        <v>3</v>
      </c>
      <c r="P5" s="270" t="inlineStr">
        <is>
          <t xml:space="preserve">Toplam enerji kullanımıyaklaşık 116,9 milyon MJ olarak verilmiş ve yakıt türleri ile dönüşüm katsayıları üzerinden hesaplamaya uygun hâle getirilmiştir. Bu durum enerji kullanımının izlenebilirliği bakımından olumlu bir bulgudur. </t>
        </is>
      </c>
      <c r="Q5" s="270" t="n">
        <v>3</v>
      </c>
      <c r="R5" s="270">
        <f>100*(M5-1)/4</f>
        <v/>
      </c>
      <c r="S5" s="270">
        <f>100*(O5-1)/4</f>
        <v/>
      </c>
      <c r="T5" s="270">
        <f>100*(Q5-1)/4</f>
        <v/>
      </c>
      <c r="U5" s="270">
        <f>R5*J5</f>
        <v/>
      </c>
      <c r="V5" s="270">
        <f>R5*K5</f>
        <v/>
      </c>
      <c r="W5" s="270">
        <f>S5*$J5</f>
        <v/>
      </c>
      <c r="X5" s="270">
        <f>S5*K5</f>
        <v/>
      </c>
      <c r="Y5" s="270">
        <f>T5*$J5</f>
        <v/>
      </c>
      <c r="Z5" s="270">
        <f>T5*K5</f>
        <v/>
      </c>
      <c r="AA5" s="270">
        <f>R5*F5</f>
        <v/>
      </c>
      <c r="AB5" s="270">
        <f>R5*E5</f>
        <v/>
      </c>
      <c r="AC5" s="270">
        <f>S5*F5</f>
        <v/>
      </c>
      <c r="AD5" s="270">
        <f>S5*E5</f>
        <v/>
      </c>
      <c r="AE5" s="270">
        <f>T5*F5</f>
        <v/>
      </c>
      <c r="AF5" s="270">
        <f>T5*E5</f>
        <v/>
      </c>
      <c r="AG5" s="283">
        <f>R5*0.25*K5</f>
        <v/>
      </c>
      <c r="AH5" s="283">
        <f>K5*R5</f>
        <v/>
      </c>
      <c r="AI5" s="283">
        <f>S5*0.25*$K5</f>
        <v/>
      </c>
      <c r="AJ5" s="283">
        <f>S5*K5</f>
        <v/>
      </c>
      <c r="AK5" s="283">
        <f>T5*0.25*$K5</f>
        <v/>
      </c>
      <c r="AL5" s="283">
        <f>K5*T5</f>
        <v/>
      </c>
      <c r="AM5" s="283" t="n">
        <v>0.25</v>
      </c>
      <c r="AN5" s="270">
        <f>R5*I5*AM5*0.25</f>
        <v/>
      </c>
      <c r="AO5" s="270">
        <f>R5*I5*AM5</f>
        <v/>
      </c>
      <c r="AP5" s="270">
        <f>S5*I5*AM5*0.25</f>
        <v/>
      </c>
      <c r="AQ5" s="270">
        <f>S5*I5*AM5</f>
        <v/>
      </c>
      <c r="AR5" s="270">
        <f>T5*I5*AM5*0.25</f>
        <v/>
      </c>
      <c r="AS5" s="270">
        <f>T5*I5*AM5</f>
        <v/>
      </c>
      <c r="AT5" s="270">
        <f>1/7</f>
        <v/>
      </c>
      <c r="AU5" s="283" t="n">
        <v>0.25</v>
      </c>
      <c r="AV5" s="270">
        <f>R5*AT5*AU5*0.25</f>
        <v/>
      </c>
      <c r="AW5" s="270">
        <f>R5*AT5*AU5</f>
        <v/>
      </c>
      <c r="AX5" s="270">
        <f>S5*AT5*AU5*0.25</f>
        <v/>
      </c>
      <c r="AY5" s="270">
        <f>S5*AT5*AU5</f>
        <v/>
      </c>
      <c r="AZ5" s="270">
        <f>T5*AT5*AU5*0.25</f>
        <v/>
      </c>
      <c r="BA5" s="270">
        <f>T5*AT5*AU5</f>
        <v/>
      </c>
      <c r="BB5" s="270">
        <f>R5*K5*0.4</f>
        <v/>
      </c>
      <c r="BC5" s="270">
        <f>R5*K5</f>
        <v/>
      </c>
      <c r="BD5" s="270">
        <f>S5*K5*0.4</f>
        <v/>
      </c>
      <c r="BE5" s="270">
        <f>S5*K5</f>
        <v/>
      </c>
      <c r="BF5" s="270">
        <f>T5*K5*0.4</f>
        <v/>
      </c>
      <c r="BG5" s="308">
        <f>T5*K5</f>
        <v/>
      </c>
      <c r="BH5" s="308">
        <f>R5*K5*0.2</f>
        <v/>
      </c>
      <c r="BI5" s="308">
        <f>R5*K5</f>
        <v/>
      </c>
      <c r="BJ5" s="308">
        <f>S5*K5*0.2</f>
        <v/>
      </c>
      <c r="BK5" s="308">
        <f>S5*K5</f>
        <v/>
      </c>
      <c r="BL5" s="308">
        <f>T5*K5*0.2</f>
        <v/>
      </c>
      <c r="BM5" s="311">
        <f>T5*K5</f>
        <v/>
      </c>
      <c r="BN5" s="311">
        <f>R5*K5*0.2</f>
        <v/>
      </c>
      <c r="BO5" s="311">
        <f>K5*R5</f>
        <v/>
      </c>
      <c r="BP5" s="311">
        <f>S5*K5*0.2</f>
        <v/>
      </c>
      <c r="BQ5" s="311">
        <f>K5*S5</f>
        <v/>
      </c>
      <c r="BR5" s="311">
        <f>K5*T5*0.2</f>
        <v/>
      </c>
      <c r="BS5" s="270">
        <f>K5*T5</f>
        <v/>
      </c>
      <c r="BT5" s="270">
        <f>R5*K5*0.2</f>
        <v/>
      </c>
      <c r="BU5" s="270">
        <f>R5*K5</f>
        <v/>
      </c>
      <c r="BV5" s="270">
        <f>S5*K5*0.2</f>
        <v/>
      </c>
      <c r="BW5" s="270">
        <f>S5*K5</f>
        <v/>
      </c>
      <c r="BX5" s="270">
        <f>T5*K5*0.2</f>
        <v/>
      </c>
      <c r="BY5" s="270">
        <f>T5*K5</f>
        <v/>
      </c>
      <c r="BZ5" s="270">
        <f>R5*K5*0.34</f>
        <v/>
      </c>
      <c r="CA5" s="270">
        <f>R5*K5</f>
        <v/>
      </c>
      <c r="CB5" s="270">
        <f>S5*K5*0.34</f>
        <v/>
      </c>
      <c r="CC5" s="270">
        <f>S5*K5</f>
        <v/>
      </c>
      <c r="CD5" s="270">
        <f>T5*K5*0.34</f>
        <v/>
      </c>
      <c r="CE5" s="270">
        <f>T5*K5</f>
        <v/>
      </c>
    </row>
    <row r="6" ht="165" customFormat="1" customHeight="1" s="270">
      <c r="A6" s="270" t="n">
        <v>3</v>
      </c>
      <c r="B6" s="269" t="inlineStr">
        <is>
          <t>Enerji verimliliği artırma uygulamaları</t>
        </is>
      </c>
      <c r="C6" s="269" t="inlineStr">
        <is>
          <t>Modernizasyon ve teknik iyileştirme iradesini gösterir (Örn: Pompa revizyonları).</t>
        </is>
      </c>
      <c r="D6" s="270">
        <f>ESG_FO_Makale!$G$17</f>
        <v/>
      </c>
      <c r="E6" s="270" t="n">
        <v>0.025</v>
      </c>
      <c r="F6" s="270">
        <f>D6*E6</f>
        <v/>
      </c>
      <c r="G6" s="270">
        <f>ESG_FO_AnaBlok!$G$17</f>
        <v/>
      </c>
      <c r="H6" s="270">
        <f>E_AltGruplar!$G$16</f>
        <v/>
      </c>
      <c r="I6" s="270">
        <f>E_EnerjiEmis!J21</f>
        <v/>
      </c>
      <c r="J6" s="270">
        <f>G6*H6*I6</f>
        <v/>
      </c>
      <c r="K6" s="270">
        <f>H6*I6</f>
        <v/>
      </c>
      <c r="L6" s="270" t="inlineStr">
        <is>
          <t xml:space="preserve">GES kaynaklı elektrik payı yaklaşık %1,77’dir. GES ve biyogaz projelerinin bulunması veya planlanması olumlu bir geçiş unsuru olmakla birlikte, mevcut tüketim içindeki fiilî yenilenebilir payın düşük olması nedeniyle gösterge düşük-orta düzeyde puanlanmıştır. </t>
        </is>
      </c>
      <c r="M6" s="270" t="n">
        <v>3</v>
      </c>
      <c r="N6" s="270" t="inlineStr">
        <is>
          <t>Spesifik ve ölçülmüş bir enerji verimliliği projesi tanımlanmamakla birlikte, enerji kullanımının ayrıntılı izlenmesi gelecekte verimlilik hedeflerinin oluşturulmasına temel sağlayabilir. Bu nedenle mevcut uygulama kanıtı sınırlı düzeyde değerlendirilmiştir.</t>
        </is>
      </c>
      <c r="O6" s="271" t="n">
        <v>2</v>
      </c>
      <c r="P6" s="270" t="inlineStr">
        <is>
          <t>Spesifik ve ölçülmüş bir enerji verimliliği projesi tanımlanmamakla birlikte, enerji kullanımının ayrıntılı izlenmesi gelecekte verimlilik hedeflerinin oluşturulmasına temel sağlayabilir. Bu nedenle mevcut uygulama kanıtı sınırlı düzeyde değerlendirilmiştir.</t>
        </is>
      </c>
      <c r="Q6" s="270" t="n">
        <v>2</v>
      </c>
      <c r="R6" s="270">
        <f>100*(M6-1)/4</f>
        <v/>
      </c>
      <c r="S6" s="270">
        <f>100*(O6-1)/4</f>
        <v/>
      </c>
      <c r="T6" s="270">
        <f>100*(Q6-1)/4</f>
        <v/>
      </c>
      <c r="U6" s="270">
        <f>R6*J6</f>
        <v/>
      </c>
      <c r="V6" s="270">
        <f>R6*K6</f>
        <v/>
      </c>
      <c r="W6" s="270">
        <f>S6*$J6</f>
        <v/>
      </c>
      <c r="X6" s="270">
        <f>S6*K6</f>
        <v/>
      </c>
      <c r="Y6" s="270">
        <f>T6*$J6</f>
        <v/>
      </c>
      <c r="Z6" s="270">
        <f>T6*K6</f>
        <v/>
      </c>
      <c r="AA6" s="270">
        <f>R6*F6</f>
        <v/>
      </c>
      <c r="AB6" s="270">
        <f>R6*E6</f>
        <v/>
      </c>
      <c r="AC6" s="270">
        <f>S6*F6</f>
        <v/>
      </c>
      <c r="AD6" s="270">
        <f>S6*E6</f>
        <v/>
      </c>
      <c r="AE6" s="270">
        <f>T6*F6</f>
        <v/>
      </c>
      <c r="AF6" s="270">
        <f>T6*E6</f>
        <v/>
      </c>
      <c r="AG6" s="283">
        <f>R6*0.25*K6</f>
        <v/>
      </c>
      <c r="AH6" s="283">
        <f>K6*R6</f>
        <v/>
      </c>
      <c r="AI6" s="283">
        <f>S6*0.25*$K6</f>
        <v/>
      </c>
      <c r="AJ6" s="283">
        <f>S6*K6</f>
        <v/>
      </c>
      <c r="AK6" s="283">
        <f>T6*0.25*$K6</f>
        <v/>
      </c>
      <c r="AL6" s="283">
        <f>K6*T6</f>
        <v/>
      </c>
      <c r="AM6" s="283" t="n">
        <v>0.25</v>
      </c>
      <c r="AN6" s="270">
        <f>R6*I6*AM6*0.25</f>
        <v/>
      </c>
      <c r="AO6" s="270">
        <f>R6*I6*AM6</f>
        <v/>
      </c>
      <c r="AP6" s="270">
        <f>S6*I6*AM6*0.25</f>
        <v/>
      </c>
      <c r="AQ6" s="270">
        <f>S6*I6*AM6</f>
        <v/>
      </c>
      <c r="AR6" s="270">
        <f>T6*I6*AM6*0.25</f>
        <v/>
      </c>
      <c r="AS6" s="270">
        <f>T6*I6*AM6</f>
        <v/>
      </c>
      <c r="AT6" s="270">
        <f>1/7</f>
        <v/>
      </c>
      <c r="AU6" s="283" t="n">
        <v>0.25</v>
      </c>
      <c r="AV6" s="270">
        <f>R6*AT6*AU6*0.25</f>
        <v/>
      </c>
      <c r="AW6" s="270">
        <f>R6*AT6*AU6</f>
        <v/>
      </c>
      <c r="AX6" s="270">
        <f>S6*AT6*AU6*0.25</f>
        <v/>
      </c>
      <c r="AY6" s="270">
        <f>S6*AT6*AU6</f>
        <v/>
      </c>
      <c r="AZ6" s="270">
        <f>T6*AT6*AU6*0.25</f>
        <v/>
      </c>
      <c r="BA6" s="270">
        <f>T6*AT6*AU6</f>
        <v/>
      </c>
      <c r="BB6" s="270">
        <f>R6*K6*0.4</f>
        <v/>
      </c>
      <c r="BC6" s="270">
        <f>R6*K6</f>
        <v/>
      </c>
      <c r="BD6" s="270">
        <f>S6*K6*0.4</f>
        <v/>
      </c>
      <c r="BE6" s="270">
        <f>S6*K6</f>
        <v/>
      </c>
      <c r="BF6" s="270">
        <f>T6*K6*0.4</f>
        <v/>
      </c>
      <c r="BG6" s="308">
        <f>T6*K6</f>
        <v/>
      </c>
      <c r="BH6" s="308">
        <f>R6*K6*0.2</f>
        <v/>
      </c>
      <c r="BI6" s="308">
        <f>R6*K6</f>
        <v/>
      </c>
      <c r="BJ6" s="308">
        <f>S6*K6*0.2</f>
        <v/>
      </c>
      <c r="BK6" s="308">
        <f>S6*K6</f>
        <v/>
      </c>
      <c r="BL6" s="308">
        <f>T6*K6*0.2</f>
        <v/>
      </c>
      <c r="BM6" s="311">
        <f>T6*K6</f>
        <v/>
      </c>
      <c r="BN6" s="311">
        <f>R6*K6*0.2</f>
        <v/>
      </c>
      <c r="BO6" s="311">
        <f>K6*R6</f>
        <v/>
      </c>
      <c r="BP6" s="311">
        <f>S6*K6*0.2</f>
        <v/>
      </c>
      <c r="BQ6" s="311">
        <f>K6*S6</f>
        <v/>
      </c>
      <c r="BR6" s="311">
        <f>K6*T6*0.2</f>
        <v/>
      </c>
      <c r="BS6" s="270">
        <f>K6*T6</f>
        <v/>
      </c>
      <c r="BT6" s="270">
        <f>R6*K6*0.2</f>
        <v/>
      </c>
      <c r="BU6" s="270">
        <f>R6*K6</f>
        <v/>
      </c>
      <c r="BV6" s="270">
        <f>S6*K6*0.2</f>
        <v/>
      </c>
      <c r="BW6" s="270">
        <f>S6*K6</f>
        <v/>
      </c>
      <c r="BX6" s="270">
        <f>T6*K6*0.2</f>
        <v/>
      </c>
      <c r="BY6" s="270">
        <f>T6*K6</f>
        <v/>
      </c>
      <c r="BZ6" s="270">
        <f>R6*K6*0.34</f>
        <v/>
      </c>
      <c r="CA6" s="270">
        <f>R6*K6</f>
        <v/>
      </c>
      <c r="CB6" s="270">
        <f>S6*K6*0.34</f>
        <v/>
      </c>
      <c r="CC6" s="270">
        <f>S6*K6</f>
        <v/>
      </c>
      <c r="CD6" s="270">
        <f>T6*K6*0.34</f>
        <v/>
      </c>
      <c r="CE6" s="270">
        <f>T6*K6</f>
        <v/>
      </c>
    </row>
    <row r="7" ht="105" customFormat="1" customHeight="1" s="270">
      <c r="A7" s="270" t="n">
        <v>4</v>
      </c>
      <c r="B7" s="269" t="inlineStr">
        <is>
          <t>Yenilenebilir enerji kullanım oranı (%)</t>
        </is>
      </c>
      <c r="C7" s="269" t="inlineStr">
        <is>
          <t>Ceylanpınar'daki GES/Biyogaz farkını ölçer. Karbonsuzlaşma stratejisinin en güçlü göstergesidir.</t>
        </is>
      </c>
      <c r="D7" s="270">
        <f>ESG_FO_Makale!$G$17</f>
        <v/>
      </c>
      <c r="E7" s="270" t="n">
        <v>0.05</v>
      </c>
      <c r="F7" s="270">
        <f>D7*E7</f>
        <v/>
      </c>
      <c r="G7" s="270">
        <f>ESG_FO_AnaBlok!$G$17</f>
        <v/>
      </c>
      <c r="H7" s="270">
        <f>E_AltGruplar!$G$16</f>
        <v/>
      </c>
      <c r="I7" s="270">
        <f>E_EnerjiEmis!J22</f>
        <v/>
      </c>
      <c r="J7" s="270">
        <f>G7*H7*I7</f>
        <v/>
      </c>
      <c r="K7" s="270">
        <f>H7*I7</f>
        <v/>
      </c>
      <c r="L7" s="270" t="inlineStr">
        <is>
          <t xml:space="preserve">Toplam elektrik tüketiminin yalnızca %1,77’si yenilenebilir kaynaklıdır. Mahsuplaşma usulü GES ve ısı geri kazanımlı Biyogaz projeleri ile aktif verimlilik yönetimi yapılmaktadır. </t>
        </is>
      </c>
      <c r="M7" s="270" t="n">
        <v>3</v>
      </c>
      <c r="N7" s="270" t="inlineStr">
        <is>
          <t>Yalnızca lojmanlarda GES kullanımı bulunmaktadır</t>
        </is>
      </c>
      <c r="O7" s="271" t="n">
        <v>2</v>
      </c>
      <c r="P7" s="270" t="inlineStr">
        <is>
          <t>işletmenin toplam enerji tüketimi içinde fiilî yenilenebilir enerji üretimi veya kullanımını gösteren doğrulanmış bir oran bulunmamaktadır.</t>
        </is>
      </c>
      <c r="Q7" s="270" t="n">
        <v>1</v>
      </c>
      <c r="R7" s="270">
        <f>100*(M7-1)/4</f>
        <v/>
      </c>
      <c r="S7" s="270">
        <f>100*(O7-1)/4</f>
        <v/>
      </c>
      <c r="T7" s="270">
        <f>100*(Q7-1)/4</f>
        <v/>
      </c>
      <c r="U7" s="270">
        <f>R7*J7</f>
        <v/>
      </c>
      <c r="V7" s="270">
        <f>R7*K7</f>
        <v/>
      </c>
      <c r="W7" s="270">
        <f>S7*$J7</f>
        <v/>
      </c>
      <c r="X7" s="270">
        <f>S7*K7</f>
        <v/>
      </c>
      <c r="Y7" s="270">
        <f>T7*$J7</f>
        <v/>
      </c>
      <c r="Z7" s="270">
        <f>T7*K7</f>
        <v/>
      </c>
      <c r="AA7" s="270">
        <f>R7*F7</f>
        <v/>
      </c>
      <c r="AB7" s="270">
        <f>R7*E7</f>
        <v/>
      </c>
      <c r="AC7" s="270">
        <f>S7*F7</f>
        <v/>
      </c>
      <c r="AD7" s="270">
        <f>S7*E7</f>
        <v/>
      </c>
      <c r="AE7" s="270">
        <f>T7*F7</f>
        <v/>
      </c>
      <c r="AF7" s="270">
        <f>T7*E7</f>
        <v/>
      </c>
      <c r="AG7" s="283">
        <f>R7*0.25*K7</f>
        <v/>
      </c>
      <c r="AH7" s="283">
        <f>K7*R7</f>
        <v/>
      </c>
      <c r="AI7" s="283">
        <f>S7*0.25*$K7</f>
        <v/>
      </c>
      <c r="AJ7" s="283">
        <f>S7*K7</f>
        <v/>
      </c>
      <c r="AK7" s="283">
        <f>T7*0.25*$K7</f>
        <v/>
      </c>
      <c r="AL7" s="283">
        <f>K7*T7</f>
        <v/>
      </c>
      <c r="AM7" s="283" t="n">
        <v>0.25</v>
      </c>
      <c r="AN7" s="270">
        <f>R7*I7*AM7*0.25</f>
        <v/>
      </c>
      <c r="AO7" s="270">
        <f>R7*I7*AM7</f>
        <v/>
      </c>
      <c r="AP7" s="270">
        <f>S7*I7*AM7*0.25</f>
        <v/>
      </c>
      <c r="AQ7" s="270">
        <f>S7*I7*AM7</f>
        <v/>
      </c>
      <c r="AR7" s="270">
        <f>T7*I7*AM7*0.25</f>
        <v/>
      </c>
      <c r="AS7" s="270">
        <f>T7*I7*AM7</f>
        <v/>
      </c>
      <c r="AT7" s="270">
        <f>1/7</f>
        <v/>
      </c>
      <c r="AU7" s="283" t="n">
        <v>0.25</v>
      </c>
      <c r="AV7" s="270">
        <f>R7*AT7*AU7*0.25</f>
        <v/>
      </c>
      <c r="AW7" s="270">
        <f>R7*AT7*AU7</f>
        <v/>
      </c>
      <c r="AX7" s="270">
        <f>S7*AT7*AU7*0.25</f>
        <v/>
      </c>
      <c r="AY7" s="270">
        <f>S7*AT7*AU7</f>
        <v/>
      </c>
      <c r="AZ7" s="270">
        <f>T7*AT7*AU7*0.25</f>
        <v/>
      </c>
      <c r="BA7" s="270">
        <f>T7*AT7*AU7</f>
        <v/>
      </c>
      <c r="BB7" s="270">
        <f>R7*K7*0.4</f>
        <v/>
      </c>
      <c r="BC7" s="270">
        <f>R7*K7</f>
        <v/>
      </c>
      <c r="BD7" s="270">
        <f>S7*K7*0.4</f>
        <v/>
      </c>
      <c r="BE7" s="270">
        <f>S7*K7</f>
        <v/>
      </c>
      <c r="BF7" s="270">
        <f>T7*K7*0.4</f>
        <v/>
      </c>
      <c r="BG7" s="308">
        <f>T7*K7</f>
        <v/>
      </c>
      <c r="BH7" s="308">
        <f>R7*K7*0.2</f>
        <v/>
      </c>
      <c r="BI7" s="308">
        <f>R7*K7</f>
        <v/>
      </c>
      <c r="BJ7" s="308">
        <f>S7*K7*0.2</f>
        <v/>
      </c>
      <c r="BK7" s="308">
        <f>S7*K7</f>
        <v/>
      </c>
      <c r="BL7" s="308">
        <f>T7*K7*0.2</f>
        <v/>
      </c>
      <c r="BM7" s="311">
        <f>T7*K7</f>
        <v/>
      </c>
      <c r="BN7" s="311">
        <f>R7*K7*0.2</f>
        <v/>
      </c>
      <c r="BO7" s="311">
        <f>K7*R7</f>
        <v/>
      </c>
      <c r="BP7" s="311">
        <f>S7*K7*0.2</f>
        <v/>
      </c>
      <c r="BQ7" s="311">
        <f>K7*S7</f>
        <v/>
      </c>
      <c r="BR7" s="311">
        <f>K7*T7*0.2</f>
        <v/>
      </c>
      <c r="BS7" s="270">
        <f>K7*T7</f>
        <v/>
      </c>
      <c r="BT7" s="270">
        <f>R7*K7*0.2</f>
        <v/>
      </c>
      <c r="BU7" s="270">
        <f>R7*K7</f>
        <v/>
      </c>
      <c r="BV7" s="270">
        <f>S7*K7*0.2</f>
        <v/>
      </c>
      <c r="BW7" s="270">
        <f>S7*K7</f>
        <v/>
      </c>
      <c r="BX7" s="270">
        <f>T7*K7*0.2</f>
        <v/>
      </c>
      <c r="BY7" s="270">
        <f>T7*K7</f>
        <v/>
      </c>
      <c r="BZ7" s="270">
        <f>R7*K7*0.34</f>
        <v/>
      </c>
      <c r="CA7" s="270">
        <f>R7*K7</f>
        <v/>
      </c>
      <c r="CB7" s="270">
        <f>S7*K7*0.34</f>
        <v/>
      </c>
      <c r="CC7" s="270">
        <f>S7*K7</f>
        <v/>
      </c>
      <c r="CD7" s="270">
        <f>T7*K7*0.34</f>
        <v/>
      </c>
      <c r="CE7" s="270">
        <f>T7*K7</f>
        <v/>
      </c>
    </row>
    <row r="8" ht="75" customFormat="1" customHeight="1" s="270">
      <c r="A8" s="270" t="n">
        <v>5</v>
      </c>
      <c r="B8" s="269" t="inlineStr">
        <is>
          <t>Karbon ayak izi hesaplama durumu</t>
        </is>
      </c>
      <c r="C8" s="269" t="inlineStr">
        <is>
          <t>Gözlü örneğindeki gibi IPCC katsayılarıyla analiz yapılıp yapılmadığını (denetim şeffaflığını) ölçer.</t>
        </is>
      </c>
      <c r="D8" s="270">
        <f>ESG_FO_Makale!$G$17</f>
        <v/>
      </c>
      <c r="E8" s="270" t="n">
        <v>0.0375</v>
      </c>
      <c r="F8" s="270">
        <f>D8*E8</f>
        <v/>
      </c>
      <c r="G8" s="270">
        <f>ESG_FO_AnaBlok!$G$17</f>
        <v/>
      </c>
      <c r="H8" s="270">
        <f>E_AltGruplar!$G$16</f>
        <v/>
      </c>
      <c r="I8" s="270">
        <f>E_EnerjiEmis!J23</f>
        <v/>
      </c>
      <c r="J8" s="270">
        <f>G8*H8*I8</f>
        <v/>
      </c>
      <c r="K8" s="270">
        <f>H8*I8</f>
        <v/>
      </c>
      <c r="L8" s="270" t="inlineStr">
        <is>
          <t>Kurumsal hesaplama ve raporlama henüz mevcut değil; ancak ayrıntılı kayıt ve dokümantasyon hesaplama altyapısı sağlamakta.</t>
        </is>
      </c>
      <c r="M8" s="270" t="n">
        <v>2</v>
      </c>
      <c r="N8" s="270" t="inlineStr">
        <is>
          <t>Kurumsal hesaplama ve raporlama henüz mevcut değil; ancak ayrıntılı kayıt ve dokümantasyon hesaplama altyapısı sağlamakta.</t>
        </is>
      </c>
      <c r="O8" s="271" t="n">
        <v>2</v>
      </c>
      <c r="P8" s="270" t="inlineStr">
        <is>
          <t>Kurumsal hesaplama ve raporlama henüz mevcut değil; ancak ayrıntılı kayıt ve dokümantasyon hesaplama altyapısı sağlamakta.</t>
        </is>
      </c>
      <c r="Q8" s="270" t="n">
        <v>2</v>
      </c>
      <c r="R8" s="270">
        <f>100*(M8-1)/4</f>
        <v/>
      </c>
      <c r="S8" s="270">
        <f>100*(O8-1)/4</f>
        <v/>
      </c>
      <c r="T8" s="270">
        <f>100*(Q8-1)/4</f>
        <v/>
      </c>
      <c r="U8" s="270">
        <f>R8*J8</f>
        <v/>
      </c>
      <c r="V8" s="270">
        <f>R8*K8</f>
        <v/>
      </c>
      <c r="W8" s="270">
        <f>S8*$J8</f>
        <v/>
      </c>
      <c r="X8" s="270">
        <f>S8*K8</f>
        <v/>
      </c>
      <c r="Y8" s="270">
        <f>T8*$J8</f>
        <v/>
      </c>
      <c r="Z8" s="270">
        <f>T8*K8</f>
        <v/>
      </c>
      <c r="AA8" s="270">
        <f>R8*F8</f>
        <v/>
      </c>
      <c r="AB8" s="270">
        <f>R8*E8</f>
        <v/>
      </c>
      <c r="AC8" s="270">
        <f>S8*F8</f>
        <v/>
      </c>
      <c r="AD8" s="270">
        <f>S8*E8</f>
        <v/>
      </c>
      <c r="AE8" s="270">
        <f>T8*F8</f>
        <v/>
      </c>
      <c r="AF8" s="270">
        <f>T8*E8</f>
        <v/>
      </c>
      <c r="AG8" s="283">
        <f>R8*0.25*K8</f>
        <v/>
      </c>
      <c r="AH8" s="283">
        <f>K8*R8</f>
        <v/>
      </c>
      <c r="AI8" s="283">
        <f>S8*0.25*$K8</f>
        <v/>
      </c>
      <c r="AJ8" s="283">
        <f>S8*K8</f>
        <v/>
      </c>
      <c r="AK8" s="283">
        <f>T8*0.25*$K8</f>
        <v/>
      </c>
      <c r="AL8" s="283">
        <f>K8*T8</f>
        <v/>
      </c>
      <c r="AM8" s="283" t="n">
        <v>0.25</v>
      </c>
      <c r="AN8" s="270">
        <f>R8*I8*AM8*0.25</f>
        <v/>
      </c>
      <c r="AO8" s="270">
        <f>R8*I8*AM8</f>
        <v/>
      </c>
      <c r="AP8" s="270">
        <f>S8*I8*AM8*0.25</f>
        <v/>
      </c>
      <c r="AQ8" s="270">
        <f>S8*I8*AM8</f>
        <v/>
      </c>
      <c r="AR8" s="270">
        <f>T8*I8*AM8*0.25</f>
        <v/>
      </c>
      <c r="AS8" s="270">
        <f>T8*I8*AM8</f>
        <v/>
      </c>
      <c r="AT8" s="270">
        <f>1/7</f>
        <v/>
      </c>
      <c r="AU8" s="283" t="n">
        <v>0.25</v>
      </c>
      <c r="AV8" s="270">
        <f>R8*AT8*AU8*0.25</f>
        <v/>
      </c>
      <c r="AW8" s="270">
        <f>R8*AT8*AU8</f>
        <v/>
      </c>
      <c r="AX8" s="270">
        <f>S8*AT8*AU8*0.25</f>
        <v/>
      </c>
      <c r="AY8" s="270">
        <f>S8*AT8*AU8</f>
        <v/>
      </c>
      <c r="AZ8" s="270">
        <f>T8*AT8*AU8*0.25</f>
        <v/>
      </c>
      <c r="BA8" s="270">
        <f>T8*AT8*AU8</f>
        <v/>
      </c>
      <c r="BB8" s="270">
        <f>R8*K8*0.4</f>
        <v/>
      </c>
      <c r="BC8" s="270">
        <f>R8*K8</f>
        <v/>
      </c>
      <c r="BD8" s="270">
        <f>S8*K8*0.4</f>
        <v/>
      </c>
      <c r="BE8" s="270">
        <f>S8*K8</f>
        <v/>
      </c>
      <c r="BF8" s="270">
        <f>T8*K8*0.4</f>
        <v/>
      </c>
      <c r="BG8" s="308">
        <f>T8*K8</f>
        <v/>
      </c>
      <c r="BH8" s="308">
        <f>R8*K8*0.2</f>
        <v/>
      </c>
      <c r="BI8" s="308">
        <f>R8*K8</f>
        <v/>
      </c>
      <c r="BJ8" s="308">
        <f>S8*K8*0.2</f>
        <v/>
      </c>
      <c r="BK8" s="308">
        <f>S8*K8</f>
        <v/>
      </c>
      <c r="BL8" s="308">
        <f>T8*K8*0.2</f>
        <v/>
      </c>
      <c r="BM8" s="311">
        <f>T8*K8</f>
        <v/>
      </c>
      <c r="BN8" s="311">
        <f>R8*K8*0.2</f>
        <v/>
      </c>
      <c r="BO8" s="311">
        <f>K8*R8</f>
        <v/>
      </c>
      <c r="BP8" s="311">
        <f>S8*K8*0.2</f>
        <v/>
      </c>
      <c r="BQ8" s="311">
        <f>K8*S8</f>
        <v/>
      </c>
      <c r="BR8" s="311">
        <f>K8*T8*0.2</f>
        <v/>
      </c>
      <c r="BS8" s="270">
        <f>K8*T8</f>
        <v/>
      </c>
      <c r="BT8" s="270">
        <f>R8*K8*0.2</f>
        <v/>
      </c>
      <c r="BU8" s="270">
        <f>R8*K8</f>
        <v/>
      </c>
      <c r="BV8" s="270">
        <f>S8*K8*0.2</f>
        <v/>
      </c>
      <c r="BW8" s="270">
        <f>S8*K8</f>
        <v/>
      </c>
      <c r="BX8" s="270">
        <f>T8*K8*0.2</f>
        <v/>
      </c>
      <c r="BY8" s="270">
        <f>T8*K8</f>
        <v/>
      </c>
      <c r="BZ8" s="270">
        <f>R8*K8*0.34</f>
        <v/>
      </c>
      <c r="CA8" s="270">
        <f>R8*K8</f>
        <v/>
      </c>
      <c r="CB8" s="270">
        <f>S8*K8*0.34</f>
        <v/>
      </c>
      <c r="CC8" s="270">
        <f>S8*K8</f>
        <v/>
      </c>
      <c r="CD8" s="270">
        <f>T8*K8*0.34</f>
        <v/>
      </c>
      <c r="CE8" s="270">
        <f>T8*K8</f>
        <v/>
      </c>
    </row>
    <row r="9" ht="135" customFormat="1" customHeight="1" s="270">
      <c r="A9" s="270" t="n">
        <v>6</v>
      </c>
      <c r="B9" s="269" t="inlineStr">
        <is>
          <t>İş makineleri yakıt verimliliği</t>
        </is>
      </c>
      <c r="C9" s="269" t="inlineStr">
        <is>
          <t>TİGEM’in devasa makine parkının (traktör vb.) operasyonel verimliliğidir.</t>
        </is>
      </c>
      <c r="D9" s="270">
        <f>ESG_FO_Makale!$G$17</f>
        <v/>
      </c>
      <c r="E9" s="270" t="n">
        <v>0.025</v>
      </c>
      <c r="F9" s="270">
        <f>D9*E9</f>
        <v/>
      </c>
      <c r="G9" s="270">
        <f>ESG_FO_AnaBlok!$G$17</f>
        <v/>
      </c>
      <c r="H9" s="270">
        <f>E_AltGruplar!$G$16</f>
        <v/>
      </c>
      <c r="I9" s="270">
        <f>E_EnerjiEmis!J24</f>
        <v/>
      </c>
      <c r="J9" s="270">
        <f>G9*H9*I9</f>
        <v/>
      </c>
      <c r="K9" s="270">
        <f>H9*I9</f>
        <v/>
      </c>
      <c r="L9" s="270" t="inlineStr">
        <is>
          <t>Envanterde modern makinelerin yanı sıra ekonomik ömrünü tamamlamış araçların bulunması ve yakıt verimliliği odaklı bir izleme/analiz çalışmasının olmaması puanı düşürmektedir.</t>
        </is>
      </c>
      <c r="M9" s="270" t="n">
        <v>2</v>
      </c>
      <c r="N9" s="270" t="inlineStr">
        <is>
          <t>Envanterde modern makinelerin yanı sıra ekonomik ömrünü tamamlamış araçların bulunması ve yakıt verimliliği odaklı bir izleme/analiz çalışmasının olmaması puanı düşürmektedir.</t>
        </is>
      </c>
      <c r="O9" s="271" t="n">
        <v>2</v>
      </c>
      <c r="P9" s="270" t="inlineStr">
        <is>
          <t>Envanterde modern makinelerin yanı sıra ekonomik ömrünü tamamlamış araçların bulunması ve yakıt verimliliği odaklı bir izleme/analiz çalışmasının olmaması puanı düşürmektedir.</t>
        </is>
      </c>
      <c r="Q9" s="270" t="n">
        <v>2</v>
      </c>
      <c r="R9" s="270">
        <f>100*(M9-1)/4</f>
        <v/>
      </c>
      <c r="S9" s="270">
        <f>100*(O9-1)/4</f>
        <v/>
      </c>
      <c r="T9" s="270">
        <f>100*(Q9-1)/4</f>
        <v/>
      </c>
      <c r="U9" s="270">
        <f>R9*J9</f>
        <v/>
      </c>
      <c r="V9" s="270">
        <f>R9*K9</f>
        <v/>
      </c>
      <c r="W9" s="270">
        <f>S9*$J9</f>
        <v/>
      </c>
      <c r="X9" s="270">
        <f>S9*K9</f>
        <v/>
      </c>
      <c r="Y9" s="270">
        <f>T9*$J9</f>
        <v/>
      </c>
      <c r="Z9" s="270">
        <f>T9*K9</f>
        <v/>
      </c>
      <c r="AA9" s="270">
        <f>R9*F9</f>
        <v/>
      </c>
      <c r="AB9" s="270">
        <f>R9*E9</f>
        <v/>
      </c>
      <c r="AC9" s="270">
        <f>S9*F9</f>
        <v/>
      </c>
      <c r="AD9" s="270">
        <f>S9*E9</f>
        <v/>
      </c>
      <c r="AE9" s="270">
        <f>T9*F9</f>
        <v/>
      </c>
      <c r="AF9" s="270">
        <f>T9*E9</f>
        <v/>
      </c>
      <c r="AG9" s="283">
        <f>R9*0.25*K9</f>
        <v/>
      </c>
      <c r="AH9" s="283">
        <f>K9*R9</f>
        <v/>
      </c>
      <c r="AI9" s="283">
        <f>S9*0.25*$K9</f>
        <v/>
      </c>
      <c r="AJ9" s="283">
        <f>S9*K9</f>
        <v/>
      </c>
      <c r="AK9" s="283">
        <f>T9*0.25*$K9</f>
        <v/>
      </c>
      <c r="AL9" s="283">
        <f>K9*T9</f>
        <v/>
      </c>
      <c r="AM9" s="283" t="n">
        <v>0.25</v>
      </c>
      <c r="AN9" s="270">
        <f>R9*I9*AM9*0.25</f>
        <v/>
      </c>
      <c r="AO9" s="270">
        <f>R9*I9*AM9</f>
        <v/>
      </c>
      <c r="AP9" s="270">
        <f>S9*I9*AM9*0.25</f>
        <v/>
      </c>
      <c r="AQ9" s="270">
        <f>S9*I9*AM9</f>
        <v/>
      </c>
      <c r="AR9" s="270">
        <f>T9*I9*AM9*0.25</f>
        <v/>
      </c>
      <c r="AS9" s="270">
        <f>T9*I9*AM9</f>
        <v/>
      </c>
      <c r="AT9" s="270">
        <f>1/7</f>
        <v/>
      </c>
      <c r="AU9" s="283" t="n">
        <v>0.25</v>
      </c>
      <c r="AV9" s="270">
        <f>R9*AT9*AU9*0.25</f>
        <v/>
      </c>
      <c r="AW9" s="270">
        <f>R9*AT9*AU9</f>
        <v/>
      </c>
      <c r="AX9" s="270">
        <f>S9*AT9*AU9*0.25</f>
        <v/>
      </c>
      <c r="AY9" s="270">
        <f>S9*AT9*AU9</f>
        <v/>
      </c>
      <c r="AZ9" s="270">
        <f>T9*AT9*AU9*0.25</f>
        <v/>
      </c>
      <c r="BA9" s="270">
        <f>T9*AT9*AU9</f>
        <v/>
      </c>
      <c r="BB9" s="270">
        <f>R9*K9*0.4</f>
        <v/>
      </c>
      <c r="BC9" s="270">
        <f>R9*K9</f>
        <v/>
      </c>
      <c r="BD9" s="270">
        <f>S9*K9*0.4</f>
        <v/>
      </c>
      <c r="BE9" s="270">
        <f>S9*K9</f>
        <v/>
      </c>
      <c r="BF9" s="270">
        <f>T9*K9*0.4</f>
        <v/>
      </c>
      <c r="BG9" s="308">
        <f>T9*K9</f>
        <v/>
      </c>
      <c r="BH9" s="308">
        <f>R9*K9*0.2</f>
        <v/>
      </c>
      <c r="BI9" s="308">
        <f>R9*K9</f>
        <v/>
      </c>
      <c r="BJ9" s="308">
        <f>S9*K9*0.2</f>
        <v/>
      </c>
      <c r="BK9" s="308">
        <f>S9*K9</f>
        <v/>
      </c>
      <c r="BL9" s="308">
        <f>T9*K9*0.2</f>
        <v/>
      </c>
      <c r="BM9" s="311">
        <f>T9*K9</f>
        <v/>
      </c>
      <c r="BN9" s="311">
        <f>R9*K9*0.2</f>
        <v/>
      </c>
      <c r="BO9" s="311">
        <f>K9*R9</f>
        <v/>
      </c>
      <c r="BP9" s="311">
        <f>S9*K9*0.2</f>
        <v/>
      </c>
      <c r="BQ9" s="311">
        <f>K9*S9</f>
        <v/>
      </c>
      <c r="BR9" s="311">
        <f>K9*T9*0.2</f>
        <v/>
      </c>
      <c r="BS9" s="270">
        <f>K9*T9</f>
        <v/>
      </c>
      <c r="BT9" s="270">
        <f>R9*K9*0.2</f>
        <v/>
      </c>
      <c r="BU9" s="270">
        <f>R9*K9</f>
        <v/>
      </c>
      <c r="BV9" s="270">
        <f>S9*K9*0.2</f>
        <v/>
      </c>
      <c r="BW9" s="270">
        <f>S9*K9</f>
        <v/>
      </c>
      <c r="BX9" s="270">
        <f>T9*K9*0.2</f>
        <v/>
      </c>
      <c r="BY9" s="270">
        <f>T9*K9</f>
        <v/>
      </c>
      <c r="BZ9" s="270">
        <f>R9*K9*0.34</f>
        <v/>
      </c>
      <c r="CA9" s="270">
        <f>R9*K9</f>
        <v/>
      </c>
      <c r="CB9" s="270">
        <f>S9*K9*0.34</f>
        <v/>
      </c>
      <c r="CC9" s="270">
        <f>S9*K9</f>
        <v/>
      </c>
      <c r="CD9" s="270">
        <f>T9*K9*0.34</f>
        <v/>
      </c>
      <c r="CE9" s="270">
        <f>T9*K9</f>
        <v/>
      </c>
    </row>
    <row r="10" ht="75" customFormat="1" customHeight="1" s="270">
      <c r="A10" s="270" t="n">
        <v>7</v>
      </c>
      <c r="B10" s="269" t="inlineStr">
        <is>
          <t>Lojistik ve dağıtım ağı mesafesi (300 km kriteri)</t>
        </is>
      </c>
      <c r="C10" s="269" t="inlineStr">
        <is>
          <t>Mesafe ve rota yönetimidir; enerji sepetindeki payı diğerlerine göre daha kısıtlıdır.</t>
        </is>
      </c>
      <c r="D10" s="270">
        <f>ESG_FO_Makale!$G$17</f>
        <v/>
      </c>
      <c r="E10" s="270" t="n">
        <v>0.0125</v>
      </c>
      <c r="F10" s="270">
        <f>D10*E10</f>
        <v/>
      </c>
      <c r="G10" s="270">
        <f>ESG_FO_AnaBlok!$G$17</f>
        <v/>
      </c>
      <c r="H10" s="270">
        <f>E_AltGruplar!$G$16</f>
        <v/>
      </c>
      <c r="I10" s="270">
        <f>E_EnerjiEmis!J25</f>
        <v/>
      </c>
      <c r="J10" s="270">
        <f>G10*H10*I10</f>
        <v/>
      </c>
      <c r="K10" s="270">
        <f>H10*I10</f>
        <v/>
      </c>
      <c r="L10" s="270" t="inlineStr">
        <is>
          <t>İşletmenin coğrafi konumu ve dağıtım noktalarına olan uzaklığı nedeniyle lojistik mesafenin yüksek olduğu değerlendirilmiştir</t>
        </is>
      </c>
      <c r="M10" s="270" t="n">
        <v>2</v>
      </c>
      <c r="N10" s="270" t="inlineStr">
        <is>
          <t>Büyük pazarlara yakınlık avantajı olsa da nakliye ağı geniştir.</t>
        </is>
      </c>
      <c r="O10" s="271" t="n">
        <v>3</v>
      </c>
      <c r="P10" s="270" t="inlineStr">
        <is>
          <t>Büyük tüketim ve pazarlara görece yakınlık lojistik mesafeyi azaltabilecek bir avantaj sağlasa</t>
        </is>
      </c>
      <c r="Q10" s="270" t="n">
        <v>3</v>
      </c>
      <c r="R10" s="270">
        <f>100*(M10-1)/4</f>
        <v/>
      </c>
      <c r="S10" s="270">
        <f>100*(O10-1)/4</f>
        <v/>
      </c>
      <c r="T10" s="270">
        <f>100*(Q10-1)/4</f>
        <v/>
      </c>
      <c r="U10" s="270">
        <f>R10*J10</f>
        <v/>
      </c>
      <c r="V10" s="270">
        <f>R10*K10</f>
        <v/>
      </c>
      <c r="W10" s="270">
        <f>S10*$J10</f>
        <v/>
      </c>
      <c r="X10" s="270">
        <f>S10*K10</f>
        <v/>
      </c>
      <c r="Y10" s="270">
        <f>T10*$J10</f>
        <v/>
      </c>
      <c r="Z10" s="270">
        <f>T10*K10</f>
        <v/>
      </c>
      <c r="AA10" s="270">
        <f>R10*F10</f>
        <v/>
      </c>
      <c r="AB10" s="270">
        <f>R10*E10</f>
        <v/>
      </c>
      <c r="AC10" s="270">
        <f>S10*F10</f>
        <v/>
      </c>
      <c r="AD10" s="270">
        <f>S10*E10</f>
        <v/>
      </c>
      <c r="AE10" s="270">
        <f>T10*F10</f>
        <v/>
      </c>
      <c r="AF10" s="270">
        <f>T10*E10</f>
        <v/>
      </c>
      <c r="AG10" s="283">
        <f>R10*0.25*K10</f>
        <v/>
      </c>
      <c r="AH10" s="283">
        <f>K10*R10</f>
        <v/>
      </c>
      <c r="AI10" s="283">
        <f>S10*0.25*$K10</f>
        <v/>
      </c>
      <c r="AJ10" s="283">
        <f>S10*K10</f>
        <v/>
      </c>
      <c r="AK10" s="283">
        <f>T10*0.25*$K10</f>
        <v/>
      </c>
      <c r="AL10" s="283">
        <f>K10*T10</f>
        <v/>
      </c>
      <c r="AM10" s="283" t="n">
        <v>0.25</v>
      </c>
      <c r="AN10" s="270">
        <f>R10*I10*AM10*0.25</f>
        <v/>
      </c>
      <c r="AO10" s="270">
        <f>R10*I10*AM10</f>
        <v/>
      </c>
      <c r="AP10" s="270">
        <f>S10*I10*AM10*0.25</f>
        <v/>
      </c>
      <c r="AQ10" s="270">
        <f>S10*I10*AM10</f>
        <v/>
      </c>
      <c r="AR10" s="270">
        <f>T10*I10*AM10*0.25</f>
        <v/>
      </c>
      <c r="AS10" s="270">
        <f>T10*I10*AM10</f>
        <v/>
      </c>
      <c r="AT10" s="270">
        <f>1/7</f>
        <v/>
      </c>
      <c r="AU10" s="283" t="n">
        <v>0.25</v>
      </c>
      <c r="AV10" s="270">
        <f>R10*AT10*AU10*0.25</f>
        <v/>
      </c>
      <c r="AW10" s="270">
        <f>R10*AT10*AU10</f>
        <v/>
      </c>
      <c r="AX10" s="270">
        <f>S10*AT10*AU10*0.25</f>
        <v/>
      </c>
      <c r="AY10" s="270">
        <f>S10*AT10*AU10</f>
        <v/>
      </c>
      <c r="AZ10" s="270">
        <f>T10*AT10*AU10*0.25</f>
        <v/>
      </c>
      <c r="BA10" s="270">
        <f>T10*AT10*AU10</f>
        <v/>
      </c>
      <c r="BB10" s="270">
        <f>R10*K10*0.4</f>
        <v/>
      </c>
      <c r="BC10" s="270">
        <f>R10*K10</f>
        <v/>
      </c>
      <c r="BD10" s="270">
        <f>S10*K10*0.4</f>
        <v/>
      </c>
      <c r="BE10" s="270">
        <f>S10*K10</f>
        <v/>
      </c>
      <c r="BF10" s="270">
        <f>T10*K10*0.4</f>
        <v/>
      </c>
      <c r="BG10" s="308">
        <f>T10*K10</f>
        <v/>
      </c>
      <c r="BH10" s="308">
        <f>R10*K10*0.2</f>
        <v/>
      </c>
      <c r="BI10" s="308">
        <f>R10*K10</f>
        <v/>
      </c>
      <c r="BJ10" s="308">
        <f>S10*K10*0.2</f>
        <v/>
      </c>
      <c r="BK10" s="308">
        <f>S10*K10</f>
        <v/>
      </c>
      <c r="BL10" s="308">
        <f>T10*K10*0.2</f>
        <v/>
      </c>
      <c r="BM10" s="311">
        <f>T10*K10</f>
        <v/>
      </c>
      <c r="BN10" s="311">
        <f>R10*K10*0.2</f>
        <v/>
      </c>
      <c r="BO10" s="311">
        <f>K10*R10</f>
        <v/>
      </c>
      <c r="BP10" s="311">
        <f>S10*K10*0.2</f>
        <v/>
      </c>
      <c r="BQ10" s="311">
        <f>K10*S10</f>
        <v/>
      </c>
      <c r="BR10" s="311">
        <f>K10*T10*0.2</f>
        <v/>
      </c>
      <c r="BS10" s="270">
        <f>K10*T10</f>
        <v/>
      </c>
      <c r="BT10" s="270">
        <f>R10*K10*0.2</f>
        <v/>
      </c>
      <c r="BU10" s="270">
        <f>R10*K10</f>
        <v/>
      </c>
      <c r="BV10" s="270">
        <f>S10*K10*0.2</f>
        <v/>
      </c>
      <c r="BW10" s="270">
        <f>S10*K10</f>
        <v/>
      </c>
      <c r="BX10" s="270">
        <f>T10*K10*0.2</f>
        <v/>
      </c>
      <c r="BY10" s="270">
        <f>T10*K10</f>
        <v/>
      </c>
      <c r="BZ10" s="270">
        <f>R10*K10*0.34</f>
        <v/>
      </c>
      <c r="CA10" s="270">
        <f>R10*K10</f>
        <v/>
      </c>
      <c r="CB10" s="270">
        <f>S10*K10*0.34</f>
        <v/>
      </c>
      <c r="CC10" s="270">
        <f>S10*K10</f>
        <v/>
      </c>
      <c r="CD10" s="270">
        <f>T10*K10*0.34</f>
        <v/>
      </c>
      <c r="CE10" s="270">
        <f>T10*K10</f>
        <v/>
      </c>
    </row>
    <row r="11" ht="205.5" customFormat="1" customHeight="1" s="270">
      <c r="A11" s="270" t="n">
        <v>8</v>
      </c>
      <c r="B11" s="269" t="inlineStr">
        <is>
          <t>Toplam yıllık su çekimi/tüketimi</t>
        </is>
      </c>
      <c r="C11" s="269" t="inlineStr">
        <is>
          <t>Hacimsel Denetim: Kaynaktan çekilen ham suyun miktarıdır. Enerji tüketimiyle (kWh) en yüksek korelasyona sahip veridir.</t>
        </is>
      </c>
      <c r="D11" s="270">
        <f>ESG_FO_Makale!$G$17</f>
        <v/>
      </c>
      <c r="E11" s="270" t="n">
        <v>0.0525</v>
      </c>
      <c r="F11" s="270">
        <f>D11*E11</f>
        <v/>
      </c>
      <c r="G11" s="270">
        <f>ESG_FO_AnaBlok!$G$17</f>
        <v/>
      </c>
      <c r="H11" s="270">
        <f>E_AltGruplar!$G$17</f>
        <v/>
      </c>
      <c r="I11" s="270">
        <f>E_SuYonetim!J19</f>
        <v/>
      </c>
      <c r="J11" s="270">
        <f>G11*H11*I11</f>
        <v/>
      </c>
      <c r="K11" s="270">
        <f>H11*I11</f>
        <v/>
      </c>
      <c r="L11" s="270" t="inlineStr">
        <is>
          <t>2023 Yılı Bilanço cetvellerinde bu gösterge için “180.017.524 m³” değeri yer almaktadır. Ceylanpınar'ın 180 milyon m³ su çekmesi tek başına hacim üzerinden "yüksek tüketim" gibi görünse de, 802 bin dekarı sulaması ve bunu yaparken Center Pivot ve toprak nem sensörleri kullanması, coğrafi riski teknolojiyle "disipline ettiğini" göstermektedir.</t>
        </is>
      </c>
      <c r="M11" s="270" t="n">
        <v>3</v>
      </c>
      <c r="N11" s="270" t="inlineStr">
        <is>
          <t>Bilanço cetvellerinde miktar yer almamakla birlikte  5.889.453 TL sulama maliyeti ve 31 bin dekar sulanan arazi bilgisi yer almaktadır.</t>
        </is>
      </c>
      <c r="O11" s="271" t="n">
        <v>2</v>
      </c>
      <c r="P11" s="270" t="inlineStr">
        <is>
          <t>Bilanço cetvellerinde miktar yer almamakla birlikte 1.971.960 TL sulama maliyeti ve 35 bin dekar sulanan arazi bilgisi yer almaktadır.</t>
        </is>
      </c>
      <c r="Q11" s="270" t="n">
        <v>3</v>
      </c>
      <c r="R11" s="270">
        <f>100*(M11-1)/4</f>
        <v/>
      </c>
      <c r="S11" s="270">
        <f>100*(O11-1)/4</f>
        <v/>
      </c>
      <c r="T11" s="270">
        <f>100*(Q11-1)/4</f>
        <v/>
      </c>
      <c r="U11" s="270">
        <f>R11*J11</f>
        <v/>
      </c>
      <c r="V11" s="270">
        <f>R11*K11</f>
        <v/>
      </c>
      <c r="W11" s="270">
        <f>S11*$J11</f>
        <v/>
      </c>
      <c r="X11" s="270">
        <f>S11*K11</f>
        <v/>
      </c>
      <c r="Y11" s="270">
        <f>T11*$J11</f>
        <v/>
      </c>
      <c r="Z11" s="270">
        <f>T11*K11</f>
        <v/>
      </c>
      <c r="AA11" s="270">
        <f>R11*F11</f>
        <v/>
      </c>
      <c r="AB11" s="270">
        <f>R11*E11</f>
        <v/>
      </c>
      <c r="AC11" s="270">
        <f>S11*F11</f>
        <v/>
      </c>
      <c r="AD11" s="270">
        <f>S11*E11</f>
        <v/>
      </c>
      <c r="AE11" s="270">
        <f>T11*F11</f>
        <v/>
      </c>
      <c r="AF11" s="270">
        <f>T11*E11</f>
        <v/>
      </c>
      <c r="AG11" s="283">
        <f>R11*0.25*K11</f>
        <v/>
      </c>
      <c r="AH11" s="283">
        <f>K11*R11</f>
        <v/>
      </c>
      <c r="AI11" s="283">
        <f>S11*0.25*$K11</f>
        <v/>
      </c>
      <c r="AJ11" s="283">
        <f>S11*K11</f>
        <v/>
      </c>
      <c r="AK11" s="283">
        <f>T11*0.25*$K11</f>
        <v/>
      </c>
      <c r="AL11" s="283">
        <f>K11*T11</f>
        <v/>
      </c>
      <c r="AM11" s="283" t="n">
        <v>0.25</v>
      </c>
      <c r="AN11" s="270">
        <f>R11*I11*AM11*0.25</f>
        <v/>
      </c>
      <c r="AO11" s="270">
        <f>R11*I11*AM11</f>
        <v/>
      </c>
      <c r="AP11" s="270">
        <f>S11*I11*AM11*0.25</f>
        <v/>
      </c>
      <c r="AQ11" s="270">
        <f>S11*I11*AM11</f>
        <v/>
      </c>
      <c r="AR11" s="270">
        <f>T11*I11*AM11*0.25</f>
        <v/>
      </c>
      <c r="AS11" s="270">
        <f>T11*I11*AM11</f>
        <v/>
      </c>
      <c r="AT11" s="270">
        <f>1/7</f>
        <v/>
      </c>
      <c r="AU11" s="283" t="n">
        <v>0.25</v>
      </c>
      <c r="AV11" s="270">
        <f>R11*AT11*AU11*0.25</f>
        <v/>
      </c>
      <c r="AW11" s="270">
        <f>R11*AT11*AU11</f>
        <v/>
      </c>
      <c r="AX11" s="270">
        <f>S11*AT11*AU11*0.25</f>
        <v/>
      </c>
      <c r="AY11" s="270">
        <f>S11*AT11*AU11</f>
        <v/>
      </c>
      <c r="AZ11" s="270">
        <f>T11*AT11*AU11*0.25</f>
        <v/>
      </c>
      <c r="BA11" s="270">
        <f>T11*AT11*AU11</f>
        <v/>
      </c>
      <c r="BB11" s="270">
        <f>R11*K11*0.4</f>
        <v/>
      </c>
      <c r="BC11" s="270">
        <f>R11*K11</f>
        <v/>
      </c>
      <c r="BD11" s="270">
        <f>S11*K11*0.4</f>
        <v/>
      </c>
      <c r="BE11" s="270">
        <f>S11*K11</f>
        <v/>
      </c>
      <c r="BF11" s="270">
        <f>T11*K11*0.4</f>
        <v/>
      </c>
      <c r="BG11" s="308">
        <f>T11*K11</f>
        <v/>
      </c>
      <c r="BH11" s="308">
        <f>R11*K11*0.2</f>
        <v/>
      </c>
      <c r="BI11" s="308">
        <f>R11*K11</f>
        <v/>
      </c>
      <c r="BJ11" s="308">
        <f>S11*K11*0.2</f>
        <v/>
      </c>
      <c r="BK11" s="308">
        <f>S11*K11</f>
        <v/>
      </c>
      <c r="BL11" s="308">
        <f>T11*K11*0.2</f>
        <v/>
      </c>
      <c r="BM11" s="311">
        <f>T11*K11</f>
        <v/>
      </c>
      <c r="BN11" s="311">
        <f>R11*K11*0.2</f>
        <v/>
      </c>
      <c r="BO11" s="311">
        <f>K11*R11</f>
        <v/>
      </c>
      <c r="BP11" s="311">
        <f>S11*K11*0.2</f>
        <v/>
      </c>
      <c r="BQ11" s="311">
        <f>K11*S11</f>
        <v/>
      </c>
      <c r="BR11" s="311">
        <f>K11*T11*0.2</f>
        <v/>
      </c>
      <c r="BS11" s="270">
        <f>K11*T11</f>
        <v/>
      </c>
      <c r="BT11" s="270">
        <f>R11*K11*0.2</f>
        <v/>
      </c>
      <c r="BU11" s="270">
        <f>R11*K11</f>
        <v/>
      </c>
      <c r="BV11" s="270">
        <f>S11*K11*0.2</f>
        <v/>
      </c>
      <c r="BW11" s="270">
        <f>S11*K11</f>
        <v/>
      </c>
      <c r="BX11" s="270">
        <f>T11*K11*0.2</f>
        <v/>
      </c>
      <c r="BY11" s="270">
        <f>T11*K11</f>
        <v/>
      </c>
      <c r="BZ11" s="270">
        <f>R11*K11*0.34</f>
        <v/>
      </c>
      <c r="CA11" s="270">
        <f>R11*K11</f>
        <v/>
      </c>
      <c r="CB11" s="270">
        <f>S11*K11*0.34</f>
        <v/>
      </c>
      <c r="CC11" s="270">
        <f>S11*K11</f>
        <v/>
      </c>
      <c r="CD11" s="270">
        <f>T11*K11*0.34</f>
        <v/>
      </c>
      <c r="CE11" s="270">
        <f>T11*K11</f>
        <v/>
      </c>
    </row>
    <row r="12" ht="210" customFormat="1" customHeight="1" s="270">
      <c r="A12" s="270" t="n">
        <v>9</v>
      </c>
      <c r="B12" s="269" t="inlineStr">
        <is>
          <t>Su kaynakları (Yeraltı, Yüzey, Şebeke)</t>
        </is>
      </c>
      <c r="C12" s="269" t="inlineStr">
        <is>
          <t>Stratejik Risk: Kaynağın kompozisyonudur. Yeraltı suyuna bağımlılık (Ceylanpınar örneği), yüksek enerji maliyeti ve tükenme riski demektir.</t>
        </is>
      </c>
      <c r="D12" s="270">
        <f>ESG_FO_Makale!$G$17</f>
        <v/>
      </c>
      <c r="E12" s="270" t="n">
        <v>0.06999999999999999</v>
      </c>
      <c r="F12" s="270">
        <f>D12*E12</f>
        <v/>
      </c>
      <c r="G12" s="270">
        <f>ESG_FO_AnaBlok!$G$17</f>
        <v/>
      </c>
      <c r="H12" s="270">
        <f>E_AltGruplar!$G$17</f>
        <v/>
      </c>
      <c r="I12" s="270">
        <f>E_SuYonetim!J20</f>
        <v/>
      </c>
      <c r="J12" s="270">
        <f>G12*H12*I12</f>
        <v/>
      </c>
      <c r="K12" s="270">
        <f>H12*I12</f>
        <v/>
      </c>
      <c r="L12" s="270" t="inlineStr">
        <is>
          <t>İşletmenin yeraltı suyu ile kanal/yüzey suyu kaynaklarını birlikte kullanması, tek bir su kaynağına bağımlılığı azaltan olumlu bir unsur olarak değerlendirilmiştir. Bununla birlikte bölgede düşük yağış (263 mm) ve yeraltı su seviyesine ilişkin riskler bulunduğundan, kaynak çeşitliliği su arzı riskini tamamen ortadan kaldırmamaktadır.</t>
        </is>
      </c>
      <c r="M12" s="270" t="n">
        <v>4</v>
      </c>
      <c r="N12" s="270" t="inlineStr">
        <is>
          <t>428 mm yağışla en şanslı bölgededir; ancak su temini büyük oranda şebeke/yeraltı odaklıdır.</t>
        </is>
      </c>
      <c r="O12" s="271" t="n">
        <v>4</v>
      </c>
      <c r="P12" s="270" t="inlineStr">
        <is>
          <t>Konya Havzası'ndaki aşırı yeraltı su çekimi ve obruk oluşumu riskleri altında faaliyet göstermektedir. 298 mm yağışla kurak bir iklimdedir. Düşük maliyetli yönetim sergilese de, yeraltı sularına olan yüksek bağımlılık çevresel sürdürülebilirlik açısından riski yükseltmektedir.</t>
        </is>
      </c>
      <c r="Q12" s="270" t="n">
        <v>2</v>
      </c>
      <c r="R12" s="270">
        <f>100*(M12-1)/4</f>
        <v/>
      </c>
      <c r="S12" s="270">
        <f>100*(O12-1)/4</f>
        <v/>
      </c>
      <c r="T12" s="270">
        <f>100*(Q12-1)/4</f>
        <v/>
      </c>
      <c r="U12" s="270">
        <f>R12*J12</f>
        <v/>
      </c>
      <c r="V12" s="270">
        <f>R12*K12</f>
        <v/>
      </c>
      <c r="W12" s="270">
        <f>S12*$J12</f>
        <v/>
      </c>
      <c r="X12" s="270">
        <f>S12*K12</f>
        <v/>
      </c>
      <c r="Y12" s="270">
        <f>T12*$J12</f>
        <v/>
      </c>
      <c r="Z12" s="270">
        <f>T12*K12</f>
        <v/>
      </c>
      <c r="AA12" s="270">
        <f>R12*F12</f>
        <v/>
      </c>
      <c r="AB12" s="270">
        <f>R12*E12</f>
        <v/>
      </c>
      <c r="AC12" s="270">
        <f>S12*F12</f>
        <v/>
      </c>
      <c r="AD12" s="270">
        <f>S12*E12</f>
        <v/>
      </c>
      <c r="AE12" s="270">
        <f>T12*F12</f>
        <v/>
      </c>
      <c r="AF12" s="270">
        <f>T12*E12</f>
        <v/>
      </c>
      <c r="AG12" s="283">
        <f>R12*0.25*K12</f>
        <v/>
      </c>
      <c r="AH12" s="283">
        <f>K12*R12</f>
        <v/>
      </c>
      <c r="AI12" s="283">
        <f>S12*0.25*$K12</f>
        <v/>
      </c>
      <c r="AJ12" s="283">
        <f>S12*K12</f>
        <v/>
      </c>
      <c r="AK12" s="283">
        <f>T12*0.25*$K12</f>
        <v/>
      </c>
      <c r="AL12" s="283">
        <f>K12*T12</f>
        <v/>
      </c>
      <c r="AM12" s="283" t="n">
        <v>0.25</v>
      </c>
      <c r="AN12" s="270">
        <f>R12*I12*AM12*0.25</f>
        <v/>
      </c>
      <c r="AO12" s="270">
        <f>R12*I12*AM12</f>
        <v/>
      </c>
      <c r="AP12" s="270">
        <f>S12*I12*AM12*0.25</f>
        <v/>
      </c>
      <c r="AQ12" s="270">
        <f>S12*I12*AM12</f>
        <v/>
      </c>
      <c r="AR12" s="270">
        <f>T12*I12*AM12*0.25</f>
        <v/>
      </c>
      <c r="AS12" s="270">
        <f>T12*I12*AM12</f>
        <v/>
      </c>
      <c r="AT12" s="270">
        <f>1/7</f>
        <v/>
      </c>
      <c r="AU12" s="283" t="n">
        <v>0.25</v>
      </c>
      <c r="AV12" s="270">
        <f>R12*AT12*AU12*0.25</f>
        <v/>
      </c>
      <c r="AW12" s="270">
        <f>R12*AT12*AU12</f>
        <v/>
      </c>
      <c r="AX12" s="270">
        <f>S12*AT12*AU12*0.25</f>
        <v/>
      </c>
      <c r="AY12" s="270">
        <f>S12*AT12*AU12</f>
        <v/>
      </c>
      <c r="AZ12" s="270">
        <f>T12*AT12*AU12*0.25</f>
        <v/>
      </c>
      <c r="BA12" s="270">
        <f>T12*AT12*AU12</f>
        <v/>
      </c>
      <c r="BB12" s="270">
        <f>R12*K12*0.4</f>
        <v/>
      </c>
      <c r="BC12" s="270">
        <f>R12*K12</f>
        <v/>
      </c>
      <c r="BD12" s="270">
        <f>S12*K12*0.4</f>
        <v/>
      </c>
      <c r="BE12" s="270">
        <f>S12*K12</f>
        <v/>
      </c>
      <c r="BF12" s="270">
        <f>T12*K12*0.4</f>
        <v/>
      </c>
      <c r="BG12" s="308">
        <f>T12*K12</f>
        <v/>
      </c>
      <c r="BH12" s="308">
        <f>R12*K12*0.2</f>
        <v/>
      </c>
      <c r="BI12" s="308">
        <f>R12*K12</f>
        <v/>
      </c>
      <c r="BJ12" s="308">
        <f>S12*K12*0.2</f>
        <v/>
      </c>
      <c r="BK12" s="308">
        <f>S12*K12</f>
        <v/>
      </c>
      <c r="BL12" s="308">
        <f>T12*K12*0.2</f>
        <v/>
      </c>
      <c r="BM12" s="311">
        <f>T12*K12</f>
        <v/>
      </c>
      <c r="BN12" s="311">
        <f>R12*K12*0.2</f>
        <v/>
      </c>
      <c r="BO12" s="311">
        <f>K12*R12</f>
        <v/>
      </c>
      <c r="BP12" s="311">
        <f>S12*K12*0.2</f>
        <v/>
      </c>
      <c r="BQ12" s="311">
        <f>K12*S12</f>
        <v/>
      </c>
      <c r="BR12" s="311">
        <f>K12*T12*0.2</f>
        <v/>
      </c>
      <c r="BS12" s="270">
        <f>K12*T12</f>
        <v/>
      </c>
      <c r="BT12" s="270">
        <f>R12*K12*0.2</f>
        <v/>
      </c>
      <c r="BU12" s="270">
        <f>R12*K12</f>
        <v/>
      </c>
      <c r="BV12" s="270">
        <f>S12*K12*0.2</f>
        <v/>
      </c>
      <c r="BW12" s="270">
        <f>S12*K12</f>
        <v/>
      </c>
      <c r="BX12" s="270">
        <f>T12*K12*0.2</f>
        <v/>
      </c>
      <c r="BY12" s="270">
        <f>T12*K12</f>
        <v/>
      </c>
      <c r="BZ12" s="270">
        <f>R12*K12*0.34</f>
        <v/>
      </c>
      <c r="CA12" s="270">
        <f>R12*K12</f>
        <v/>
      </c>
      <c r="CB12" s="270">
        <f>S12*K12*0.34</f>
        <v/>
      </c>
      <c r="CC12" s="270">
        <f>S12*K12</f>
        <v/>
      </c>
      <c r="CD12" s="270">
        <f>T12*K12*0.34</f>
        <v/>
      </c>
      <c r="CE12" s="270">
        <f>T12*K12</f>
        <v/>
      </c>
    </row>
    <row r="13" ht="76.5" customFormat="1" customHeight="1" s="270">
      <c r="A13" s="270" t="n">
        <v>10</v>
      </c>
      <c r="B13" s="269" t="inlineStr">
        <is>
          <t>Toplam sulanan arazi varlığı (da)</t>
        </is>
      </c>
      <c r="C13" s="269" t="inlineStr">
        <is>
          <t>Ölçek Etkisi: Operasyonun büyüklüğünü temsil eder. Birim başına hesaplamalar (MJ/ha) için temel oluşturur.</t>
        </is>
      </c>
      <c r="D13" s="270">
        <f>ESG_FO_Makale!$G$17</f>
        <v/>
      </c>
      <c r="E13" s="270" t="n">
        <v>0.08749999999999999</v>
      </c>
      <c r="F13" s="270">
        <f>D13*E13</f>
        <v/>
      </c>
      <c r="G13" s="270">
        <f>ESG_FO_AnaBlok!$G$17</f>
        <v/>
      </c>
      <c r="H13" s="270">
        <f>E_AltGruplar!$G$17</f>
        <v/>
      </c>
      <c r="I13" s="270">
        <f>E_SuYonetim!J21</f>
        <v/>
      </c>
      <c r="J13" s="270">
        <f>G13*H13*I13</f>
        <v/>
      </c>
      <c r="K13" s="270">
        <f>H13*I13</f>
        <v/>
      </c>
      <c r="L13" s="270" t="inlineStr">
        <is>
          <t xml:space="preserve"> Toplam ekilebilir alanı 966 bin dekar iken 802 bin dekar sulanabilir arazi bulunmaktadır (%83,02).</t>
        </is>
      </c>
      <c r="M13" s="270" t="n">
        <v>5</v>
      </c>
      <c r="N13" s="270" t="inlineStr">
        <is>
          <t xml:space="preserve"> Yaklaşık ekilebilir alan 49 bin dekar iken sulanabilir arazi 31 bin dekardır(%63,27).</t>
        </is>
      </c>
      <c r="O13" s="271" t="n">
        <v>4</v>
      </c>
      <c r="P13" s="270" t="inlineStr">
        <is>
          <t>Yaklaşık ekilebilir alan 151 bin dekar iken sulanabilir arazi 35 bin dekardır (%23,18).</t>
        </is>
      </c>
      <c r="Q13" s="270" t="n">
        <v>2</v>
      </c>
      <c r="R13" s="270">
        <f>100*(M13-1)/4</f>
        <v/>
      </c>
      <c r="S13" s="270">
        <f>100*(O13-1)/4</f>
        <v/>
      </c>
      <c r="T13" s="270">
        <f>100*(Q13-1)/4</f>
        <v/>
      </c>
      <c r="U13" s="270">
        <f>R13*J13</f>
        <v/>
      </c>
      <c r="V13" s="270">
        <f>R13*K13</f>
        <v/>
      </c>
      <c r="W13" s="270">
        <f>S13*$J13</f>
        <v/>
      </c>
      <c r="X13" s="270">
        <f>S13*K13</f>
        <v/>
      </c>
      <c r="Y13" s="270">
        <f>T13*$J13</f>
        <v/>
      </c>
      <c r="Z13" s="270">
        <f>T13*K13</f>
        <v/>
      </c>
      <c r="AA13" s="270">
        <f>R13*F13</f>
        <v/>
      </c>
      <c r="AB13" s="270">
        <f>R13*E13</f>
        <v/>
      </c>
      <c r="AC13" s="270">
        <f>S13*F13</f>
        <v/>
      </c>
      <c r="AD13" s="270">
        <f>S13*E13</f>
        <v/>
      </c>
      <c r="AE13" s="270">
        <f>T13*F13</f>
        <v/>
      </c>
      <c r="AF13" s="270">
        <f>T13*E13</f>
        <v/>
      </c>
      <c r="AG13" s="283">
        <f>R13*0.25*K13</f>
        <v/>
      </c>
      <c r="AH13" s="283">
        <f>K13*R13</f>
        <v/>
      </c>
      <c r="AI13" s="283">
        <f>S13*0.25*$K13</f>
        <v/>
      </c>
      <c r="AJ13" s="283">
        <f>S13*K13</f>
        <v/>
      </c>
      <c r="AK13" s="283">
        <f>T13*0.25*$K13</f>
        <v/>
      </c>
      <c r="AL13" s="283">
        <f>K13*T13</f>
        <v/>
      </c>
      <c r="AM13" s="283" t="n">
        <v>0.25</v>
      </c>
      <c r="AN13" s="270">
        <f>R13*I13*AM13*0.25</f>
        <v/>
      </c>
      <c r="AO13" s="270">
        <f>R13*I13*AM13</f>
        <v/>
      </c>
      <c r="AP13" s="270">
        <f>S13*I13*AM13*0.25</f>
        <v/>
      </c>
      <c r="AQ13" s="270">
        <f>S13*I13*AM13</f>
        <v/>
      </c>
      <c r="AR13" s="270">
        <f>T13*I13*AM13*0.25</f>
        <v/>
      </c>
      <c r="AS13" s="270">
        <f>T13*I13*AM13</f>
        <v/>
      </c>
      <c r="AT13" s="270">
        <f>1/7</f>
        <v/>
      </c>
      <c r="AU13" s="283" t="n">
        <v>0.25</v>
      </c>
      <c r="AV13" s="270">
        <f>R13*AT13*AU13*0.25</f>
        <v/>
      </c>
      <c r="AW13" s="270">
        <f>R13*AT13*AU13</f>
        <v/>
      </c>
      <c r="AX13" s="270">
        <f>S13*AT13*AU13*0.25</f>
        <v/>
      </c>
      <c r="AY13" s="270">
        <f>S13*AT13*AU13</f>
        <v/>
      </c>
      <c r="AZ13" s="270">
        <f>T13*AT13*AU13*0.25</f>
        <v/>
      </c>
      <c r="BA13" s="270">
        <f>T13*AT13*AU13</f>
        <v/>
      </c>
      <c r="BB13" s="270">
        <f>R13*K13*0.4</f>
        <v/>
      </c>
      <c r="BC13" s="270">
        <f>R13*K13</f>
        <v/>
      </c>
      <c r="BD13" s="270">
        <f>S13*K13*0.4</f>
        <v/>
      </c>
      <c r="BE13" s="270">
        <f>S13*K13</f>
        <v/>
      </c>
      <c r="BF13" s="270">
        <f>T13*K13*0.4</f>
        <v/>
      </c>
      <c r="BG13" s="308">
        <f>T13*K13</f>
        <v/>
      </c>
      <c r="BH13" s="308">
        <f>R13*K13*0.2</f>
        <v/>
      </c>
      <c r="BI13" s="308">
        <f>R13*K13</f>
        <v/>
      </c>
      <c r="BJ13" s="308">
        <f>S13*K13*0.2</f>
        <v/>
      </c>
      <c r="BK13" s="308">
        <f>S13*K13</f>
        <v/>
      </c>
      <c r="BL13" s="308">
        <f>T13*K13*0.2</f>
        <v/>
      </c>
      <c r="BM13" s="311">
        <f>T13*K13</f>
        <v/>
      </c>
      <c r="BN13" s="311">
        <f>R13*K13*0.2</f>
        <v/>
      </c>
      <c r="BO13" s="311">
        <f>K13*R13</f>
        <v/>
      </c>
      <c r="BP13" s="311">
        <f>S13*K13*0.2</f>
        <v/>
      </c>
      <c r="BQ13" s="311">
        <f>K13*S13</f>
        <v/>
      </c>
      <c r="BR13" s="311">
        <f>K13*T13*0.2</f>
        <v/>
      </c>
      <c r="BS13" s="270">
        <f>K13*T13</f>
        <v/>
      </c>
      <c r="BT13" s="270">
        <f>R13*K13*0.2</f>
        <v/>
      </c>
      <c r="BU13" s="270">
        <f>R13*K13</f>
        <v/>
      </c>
      <c r="BV13" s="270">
        <f>S13*K13*0.2</f>
        <v/>
      </c>
      <c r="BW13" s="270">
        <f>S13*K13</f>
        <v/>
      </c>
      <c r="BX13" s="270">
        <f>T13*K13*0.2</f>
        <v/>
      </c>
      <c r="BY13" s="270">
        <f>T13*K13</f>
        <v/>
      </c>
      <c r="BZ13" s="270">
        <f>R13*K13*0.34</f>
        <v/>
      </c>
      <c r="CA13" s="270">
        <f>R13*K13</f>
        <v/>
      </c>
      <c r="CB13" s="270">
        <f>S13*K13*0.34</f>
        <v/>
      </c>
      <c r="CC13" s="270">
        <f>S13*K13</f>
        <v/>
      </c>
      <c r="CD13" s="270">
        <f>T13*K13*0.34</f>
        <v/>
      </c>
      <c r="CE13" s="270">
        <f>T13*K13</f>
        <v/>
      </c>
    </row>
    <row r="14" ht="150" customFormat="1" customHeight="1" s="270">
      <c r="A14" s="270" t="n">
        <v>11</v>
      </c>
      <c r="B14" s="269" t="inlineStr">
        <is>
          <t>Su tasarrufu teknikleri (Damla/Yağmurlama)</t>
        </is>
      </c>
      <c r="C14" s="269" t="inlineStr">
        <is>
          <t>Doğrudan Enerji Bağı: Sulama teknolojisi, suyun ne kadar verimli (ve ne kadar az enerjiyle) basıldığını belirler. En yüksek puana sahiptir.</t>
        </is>
      </c>
      <c r="D14" s="270">
        <f>ESG_FO_Makale!$G$17</f>
        <v/>
      </c>
      <c r="E14" s="270" t="n">
        <v>0.035</v>
      </c>
      <c r="F14" s="270">
        <f>D14*E14</f>
        <v/>
      </c>
      <c r="G14" s="270">
        <f>ESG_FO_AnaBlok!$G$17</f>
        <v/>
      </c>
      <c r="H14" s="270">
        <f>E_AltGruplar!$G$17</f>
        <v/>
      </c>
      <c r="I14" s="270">
        <f>E_SuYonetim!J22</f>
        <v/>
      </c>
      <c r="J14" s="270">
        <f>G14*H14*I14</f>
        <v/>
      </c>
      <c r="K14" s="270">
        <f>H14*I14</f>
        <v/>
      </c>
      <c r="L14" s="270" t="inlineStr">
        <is>
          <t>Ceylanpınar'ın 180 milyon m³ su çekmesi tek başına hacim üzerinden "yüksek tüketim" gibi görünse de, 802 bin dekarı sulaması ve bunu yaparken Center Pivot ve toprak nem sensörleri kullanması, coğrafi riski teknolojiyle "disipline ettiğini" göstermektedir.</t>
        </is>
      </c>
      <c r="M14" s="270" t="n">
        <v>5</v>
      </c>
      <c r="N14" s="270" t="inlineStr">
        <is>
          <t>İşletmenin kontrollü sulama tekniklerinden yararlanması, bölgesel su riskine karşı teknolojik uyum kapasitesini göstermektedir.</t>
        </is>
      </c>
      <c r="O14" s="271" t="n">
        <v>3</v>
      </c>
      <c r="P14" s="270" t="inlineStr">
        <is>
          <t>İşletmenin su kısıtı bulunan bir bölgede damla veya pivot gibi daha kontrollü sulama tekniklerinden yararlanması, bölgesel su riskine karşı teknolojik uyum kapasitesini göstermektedir.</t>
        </is>
      </c>
      <c r="Q14" s="270" t="n">
        <v>3</v>
      </c>
      <c r="R14" s="270">
        <f>100*(M14-1)/4</f>
        <v/>
      </c>
      <c r="S14" s="270">
        <f>100*(O14-1)/4</f>
        <v/>
      </c>
      <c r="T14" s="270">
        <f>100*(Q14-1)/4</f>
        <v/>
      </c>
      <c r="U14" s="270">
        <f>R14*J14</f>
        <v/>
      </c>
      <c r="V14" s="270">
        <f>R14*K14</f>
        <v/>
      </c>
      <c r="W14" s="270">
        <f>S14*$J14</f>
        <v/>
      </c>
      <c r="X14" s="270">
        <f>S14*K14</f>
        <v/>
      </c>
      <c r="Y14" s="270">
        <f>T14*$J14</f>
        <v/>
      </c>
      <c r="Z14" s="270">
        <f>T14*K14</f>
        <v/>
      </c>
      <c r="AA14" s="270">
        <f>R14*F14</f>
        <v/>
      </c>
      <c r="AB14" s="270">
        <f>R14*E14</f>
        <v/>
      </c>
      <c r="AC14" s="270">
        <f>S14*F14</f>
        <v/>
      </c>
      <c r="AD14" s="270">
        <f>S14*E14</f>
        <v/>
      </c>
      <c r="AE14" s="270">
        <f>T14*F14</f>
        <v/>
      </c>
      <c r="AF14" s="270">
        <f>T14*E14</f>
        <v/>
      </c>
      <c r="AG14" s="283">
        <f>R14*0.25*K14</f>
        <v/>
      </c>
      <c r="AH14" s="283">
        <f>K14*R14</f>
        <v/>
      </c>
      <c r="AI14" s="283">
        <f>S14*0.25*$K14</f>
        <v/>
      </c>
      <c r="AJ14" s="283">
        <f>S14*K14</f>
        <v/>
      </c>
      <c r="AK14" s="283">
        <f>T14*0.25*$K14</f>
        <v/>
      </c>
      <c r="AL14" s="283">
        <f>K14*T14</f>
        <v/>
      </c>
      <c r="AM14" s="283" t="n">
        <v>0.25</v>
      </c>
      <c r="AN14" s="270">
        <f>R14*I14*AM14*0.25</f>
        <v/>
      </c>
      <c r="AO14" s="270">
        <f>R14*I14*AM14</f>
        <v/>
      </c>
      <c r="AP14" s="270">
        <f>S14*I14*AM14*0.25</f>
        <v/>
      </c>
      <c r="AQ14" s="270">
        <f>S14*I14*AM14</f>
        <v/>
      </c>
      <c r="AR14" s="270">
        <f>T14*I14*AM14*0.25</f>
        <v/>
      </c>
      <c r="AS14" s="270">
        <f>T14*I14*AM14</f>
        <v/>
      </c>
      <c r="AT14" s="270">
        <f>1/7</f>
        <v/>
      </c>
      <c r="AU14" s="283" t="n">
        <v>0.25</v>
      </c>
      <c r="AV14" s="270">
        <f>R14*AT14*AU14*0.25</f>
        <v/>
      </c>
      <c r="AW14" s="270">
        <f>R14*AT14*AU14</f>
        <v/>
      </c>
      <c r="AX14" s="270">
        <f>S14*AT14*AU14*0.25</f>
        <v/>
      </c>
      <c r="AY14" s="270">
        <f>S14*AT14*AU14</f>
        <v/>
      </c>
      <c r="AZ14" s="270">
        <f>T14*AT14*AU14*0.25</f>
        <v/>
      </c>
      <c r="BA14" s="270">
        <f>T14*AT14*AU14</f>
        <v/>
      </c>
      <c r="BB14" s="270">
        <f>R14*K14*0.4</f>
        <v/>
      </c>
      <c r="BC14" s="270">
        <f>R14*K14</f>
        <v/>
      </c>
      <c r="BD14" s="270">
        <f>S14*K14*0.4</f>
        <v/>
      </c>
      <c r="BE14" s="270">
        <f>S14*K14</f>
        <v/>
      </c>
      <c r="BF14" s="270">
        <f>T14*K14*0.4</f>
        <v/>
      </c>
      <c r="BG14" s="308">
        <f>T14*K14</f>
        <v/>
      </c>
      <c r="BH14" s="308">
        <f>R14*K14*0.2</f>
        <v/>
      </c>
      <c r="BI14" s="308">
        <f>R14*K14</f>
        <v/>
      </c>
      <c r="BJ14" s="308">
        <f>S14*K14*0.2</f>
        <v/>
      </c>
      <c r="BK14" s="308">
        <f>S14*K14</f>
        <v/>
      </c>
      <c r="BL14" s="308">
        <f>T14*K14*0.2</f>
        <v/>
      </c>
      <c r="BM14" s="311">
        <f>T14*K14</f>
        <v/>
      </c>
      <c r="BN14" s="311">
        <f>R14*K14*0.2</f>
        <v/>
      </c>
      <c r="BO14" s="311">
        <f>K14*R14</f>
        <v/>
      </c>
      <c r="BP14" s="311">
        <f>S14*K14*0.2</f>
        <v/>
      </c>
      <c r="BQ14" s="311">
        <f>K14*S14</f>
        <v/>
      </c>
      <c r="BR14" s="311">
        <f>K14*T14*0.2</f>
        <v/>
      </c>
      <c r="BS14" s="270">
        <f>K14*T14</f>
        <v/>
      </c>
      <c r="BT14" s="270">
        <f>R14*K14*0.2</f>
        <v/>
      </c>
      <c r="BU14" s="270">
        <f>R14*K14</f>
        <v/>
      </c>
      <c r="BV14" s="270">
        <f>S14*K14*0.2</f>
        <v/>
      </c>
      <c r="BW14" s="270">
        <f>S14*K14</f>
        <v/>
      </c>
      <c r="BX14" s="270">
        <f>T14*K14*0.2</f>
        <v/>
      </c>
      <c r="BY14" s="270">
        <f>T14*K14</f>
        <v/>
      </c>
      <c r="BZ14" s="270">
        <f>R14*K14*0.34</f>
        <v/>
      </c>
      <c r="CA14" s="270">
        <f>R14*K14</f>
        <v/>
      </c>
      <c r="CB14" s="270">
        <f>S14*K14*0.34</f>
        <v/>
      </c>
      <c r="CC14" s="270">
        <f>S14*K14</f>
        <v/>
      </c>
      <c r="CD14" s="270">
        <f>T14*K14*0.34</f>
        <v/>
      </c>
      <c r="CE14" s="270">
        <f>T14*K14</f>
        <v/>
      </c>
    </row>
    <row r="15" ht="76.5" customFormat="1" customHeight="1" s="270">
      <c r="A15" s="270" t="n">
        <v>12</v>
      </c>
      <c r="B15" s="269" t="inlineStr">
        <is>
          <t>Atık su bertaraf ve arıtma yöntemleri</t>
        </is>
      </c>
      <c r="C15" s="269" t="inlineStr">
        <is>
          <t>Çevresel Uyum: Hayvancılık ve sosyal tesis atık sularının yönetimidir. Kirletmeme prensibi denetimin bir parçasıdır.</t>
        </is>
      </c>
      <c r="D15" s="270">
        <f>ESG_FO_Makale!$G$17</f>
        <v/>
      </c>
      <c r="E15" s="270" t="n">
        <v>0.035</v>
      </c>
      <c r="F15" s="270">
        <f>D15*E15</f>
        <v/>
      </c>
      <c r="G15" s="270">
        <f>ESG_FO_AnaBlok!$G$17</f>
        <v/>
      </c>
      <c r="H15" s="270">
        <f>E_AltGruplar!$G$17</f>
        <v/>
      </c>
      <c r="I15" s="270">
        <f>E_SuYonetim!J23</f>
        <v/>
      </c>
      <c r="J15" s="270">
        <f>G15*H15*I15</f>
        <v/>
      </c>
      <c r="K15" s="270">
        <f>H15*I15</f>
        <v/>
      </c>
      <c r="L15" s="270" t="inlineStr">
        <is>
          <t>Atık su bertaraf sistemi bulunmamaktadır.</t>
        </is>
      </c>
      <c r="M15" s="270" t="n">
        <v>1</v>
      </c>
      <c r="N15" s="270" t="inlineStr">
        <is>
          <t>Atık su bertaraf sistemi bulunmamaktadır.</t>
        </is>
      </c>
      <c r="O15" s="271" t="n">
        <v>1</v>
      </c>
      <c r="P15" s="270" t="inlineStr">
        <is>
          <t>Atık su bertaraf sistemi bulunmamaktadır.</t>
        </is>
      </c>
      <c r="Q15" s="270" t="n">
        <v>1</v>
      </c>
      <c r="R15" s="270">
        <f>100*(M15-1)/4</f>
        <v/>
      </c>
      <c r="S15" s="270">
        <f>100*(O15-1)/4</f>
        <v/>
      </c>
      <c r="T15" s="270">
        <f>100*(Q15-1)/4</f>
        <v/>
      </c>
      <c r="U15" s="270">
        <f>R15*J15</f>
        <v/>
      </c>
      <c r="V15" s="270">
        <f>R15*K15</f>
        <v/>
      </c>
      <c r="W15" s="270">
        <f>S15*$J15</f>
        <v/>
      </c>
      <c r="X15" s="270">
        <f>S15*K15</f>
        <v/>
      </c>
      <c r="Y15" s="270">
        <f>T15*$J15</f>
        <v/>
      </c>
      <c r="Z15" s="270">
        <f>T15*K15</f>
        <v/>
      </c>
      <c r="AA15" s="270">
        <f>R15*F15</f>
        <v/>
      </c>
      <c r="AB15" s="270">
        <f>R15*E15</f>
        <v/>
      </c>
      <c r="AC15" s="270">
        <f>S15*F15</f>
        <v/>
      </c>
      <c r="AD15" s="270">
        <f>S15*E15</f>
        <v/>
      </c>
      <c r="AE15" s="270">
        <f>T15*F15</f>
        <v/>
      </c>
      <c r="AF15" s="270">
        <f>T15*E15</f>
        <v/>
      </c>
      <c r="AG15" s="283">
        <f>R15*0.25*K15</f>
        <v/>
      </c>
      <c r="AH15" s="283">
        <f>K15*R15</f>
        <v/>
      </c>
      <c r="AI15" s="283">
        <f>S15*0.25*$K15</f>
        <v/>
      </c>
      <c r="AJ15" s="283">
        <f>S15*K15</f>
        <v/>
      </c>
      <c r="AK15" s="283">
        <f>T15*0.25*$K15</f>
        <v/>
      </c>
      <c r="AL15" s="283">
        <f>K15*T15</f>
        <v/>
      </c>
      <c r="AM15" s="283" t="n">
        <v>0.25</v>
      </c>
      <c r="AN15" s="270">
        <f>R15*I15*AM15*0.25</f>
        <v/>
      </c>
      <c r="AO15" s="270">
        <f>R15*I15*AM15</f>
        <v/>
      </c>
      <c r="AP15" s="270">
        <f>S15*I15*AM15*0.25</f>
        <v/>
      </c>
      <c r="AQ15" s="270">
        <f>S15*I15*AM15</f>
        <v/>
      </c>
      <c r="AR15" s="270">
        <f>T15*I15*AM15*0.25</f>
        <v/>
      </c>
      <c r="AS15" s="270">
        <f>T15*I15*AM15</f>
        <v/>
      </c>
      <c r="AT15" s="270">
        <f>1/7</f>
        <v/>
      </c>
      <c r="AU15" s="283" t="n">
        <v>0.25</v>
      </c>
      <c r="AV15" s="270">
        <f>R15*AT15*AU15*0.25</f>
        <v/>
      </c>
      <c r="AW15" s="270">
        <f>R15*AT15*AU15</f>
        <v/>
      </c>
      <c r="AX15" s="270">
        <f>S15*AT15*AU15*0.25</f>
        <v/>
      </c>
      <c r="AY15" s="270">
        <f>S15*AT15*AU15</f>
        <v/>
      </c>
      <c r="AZ15" s="270">
        <f>T15*AT15*AU15*0.25</f>
        <v/>
      </c>
      <c r="BA15" s="270">
        <f>T15*AT15*AU15</f>
        <v/>
      </c>
      <c r="BB15" s="270">
        <f>R15*K15*0.4</f>
        <v/>
      </c>
      <c r="BC15" s="270">
        <f>R15*K15</f>
        <v/>
      </c>
      <c r="BD15" s="270">
        <f>S15*K15*0.4</f>
        <v/>
      </c>
      <c r="BE15" s="270">
        <f>S15*K15</f>
        <v/>
      </c>
      <c r="BF15" s="270">
        <f>T15*K15*0.4</f>
        <v/>
      </c>
      <c r="BG15" s="308">
        <f>T15*K15</f>
        <v/>
      </c>
      <c r="BH15" s="308">
        <f>R15*K15*0.2</f>
        <v/>
      </c>
      <c r="BI15" s="308">
        <f>R15*K15</f>
        <v/>
      </c>
      <c r="BJ15" s="308">
        <f>S15*K15*0.2</f>
        <v/>
      </c>
      <c r="BK15" s="308">
        <f>S15*K15</f>
        <v/>
      </c>
      <c r="BL15" s="308">
        <f>T15*K15*0.2</f>
        <v/>
      </c>
      <c r="BM15" s="311">
        <f>T15*K15</f>
        <v/>
      </c>
      <c r="BN15" s="311">
        <f>R15*K15*0.2</f>
        <v/>
      </c>
      <c r="BO15" s="311">
        <f>K15*R15</f>
        <v/>
      </c>
      <c r="BP15" s="311">
        <f>S15*K15*0.2</f>
        <v/>
      </c>
      <c r="BQ15" s="311">
        <f>K15*S15</f>
        <v/>
      </c>
      <c r="BR15" s="311">
        <f>K15*T15*0.2</f>
        <v/>
      </c>
      <c r="BS15" s="270">
        <f>K15*T15</f>
        <v/>
      </c>
      <c r="BT15" s="270">
        <f>R15*K15*0.2</f>
        <v/>
      </c>
      <c r="BU15" s="270">
        <f>R15*K15</f>
        <v/>
      </c>
      <c r="BV15" s="270">
        <f>S15*K15*0.2</f>
        <v/>
      </c>
      <c r="BW15" s="270">
        <f>S15*K15</f>
        <v/>
      </c>
      <c r="BX15" s="270">
        <f>T15*K15*0.2</f>
        <v/>
      </c>
      <c r="BY15" s="270">
        <f>T15*K15</f>
        <v/>
      </c>
      <c r="BZ15" s="270">
        <f>R15*K15*0.34</f>
        <v/>
      </c>
      <c r="CA15" s="270">
        <f>R15*K15</f>
        <v/>
      </c>
      <c r="CB15" s="270">
        <f>S15*K15*0.34</f>
        <v/>
      </c>
      <c r="CC15" s="270">
        <f>S15*K15</f>
        <v/>
      </c>
      <c r="CD15" s="270">
        <f>T15*K15*0.34</f>
        <v/>
      </c>
      <c r="CE15" s="270">
        <f>T15*K15</f>
        <v/>
      </c>
    </row>
    <row r="16" ht="102" customFormat="1" customHeight="1" s="270">
      <c r="A16" s="270" t="n">
        <v>13</v>
      </c>
      <c r="B16" s="269" t="inlineStr">
        <is>
          <t>Sulu Tarım oranı</t>
        </is>
      </c>
      <c r="C16" s="269" t="inlineStr">
        <is>
          <t>Kapasite Kullanımı: İşletmenin su potansiyelini ne kadar kullandığını gösterir. Toplam arazinin ne kadarının bu "Nexus" döngüsünde olduğunu belirler.</t>
        </is>
      </c>
      <c r="D16" s="270">
        <f>ESG_FO_Makale!$G$17</f>
        <v/>
      </c>
      <c r="E16" s="270" t="n">
        <v>0.0525</v>
      </c>
      <c r="F16" s="270">
        <f>D16*E16</f>
        <v/>
      </c>
      <c r="G16" s="270">
        <f>ESG_FO_AnaBlok!$G$17</f>
        <v/>
      </c>
      <c r="H16" s="270">
        <f>E_AltGruplar!$G$17</f>
        <v/>
      </c>
      <c r="I16" s="270">
        <f>E_SuYonetim!J24</f>
        <v/>
      </c>
      <c r="J16" s="270">
        <f>G16*H16*I16</f>
        <v/>
      </c>
      <c r="K16" s="270">
        <f>H16*I16</f>
        <v/>
      </c>
      <c r="L16" s="270" t="inlineStr">
        <is>
          <t>%83 oranında sulamayı sensör ve pivotla yönettiği için "yüksek riski yüksek teknolojiyle yönetme" başarısından dolayı 5 alır.</t>
        </is>
      </c>
      <c r="M16" s="270" t="n">
        <v>5</v>
      </c>
      <c r="N16" s="272" t="inlineStr">
        <is>
          <t>63% oranında sulu tarım yapılması ve yağış miktarının yüksek olması riskini azaltır.</t>
        </is>
      </c>
      <c r="O16" s="271" t="n">
        <v>4</v>
      </c>
      <c r="P16" s="272" t="inlineStr">
        <is>
          <t>23% sulu tarım oranı ile su bağımlılığı  daha düşüktür.</t>
        </is>
      </c>
      <c r="Q16" s="270" t="n">
        <v>4</v>
      </c>
      <c r="R16" s="270">
        <f>100*(M16-1)/4</f>
        <v/>
      </c>
      <c r="S16" s="270">
        <f>100*(O16-1)/4</f>
        <v/>
      </c>
      <c r="T16" s="270">
        <f>100*(Q16-1)/4</f>
        <v/>
      </c>
      <c r="U16" s="270">
        <f>R16*J16</f>
        <v/>
      </c>
      <c r="V16" s="270">
        <f>R16*K16</f>
        <v/>
      </c>
      <c r="W16" s="270">
        <f>S16*$J16</f>
        <v/>
      </c>
      <c r="X16" s="270">
        <f>S16*K16</f>
        <v/>
      </c>
      <c r="Y16" s="270">
        <f>T16*$J16</f>
        <v/>
      </c>
      <c r="Z16" s="270">
        <f>T16*K16</f>
        <v/>
      </c>
      <c r="AA16" s="270">
        <f>R16*F16</f>
        <v/>
      </c>
      <c r="AB16" s="270">
        <f>R16*E16</f>
        <v/>
      </c>
      <c r="AC16" s="270">
        <f>S16*F16</f>
        <v/>
      </c>
      <c r="AD16" s="270">
        <f>S16*E16</f>
        <v/>
      </c>
      <c r="AE16" s="270">
        <f>T16*F16</f>
        <v/>
      </c>
      <c r="AF16" s="270">
        <f>T16*E16</f>
        <v/>
      </c>
      <c r="AG16" s="283">
        <f>R16*0.25*K16</f>
        <v/>
      </c>
      <c r="AH16" s="283">
        <f>K16*R16</f>
        <v/>
      </c>
      <c r="AI16" s="283">
        <f>S16*0.25*$K16</f>
        <v/>
      </c>
      <c r="AJ16" s="283">
        <f>S16*K16</f>
        <v/>
      </c>
      <c r="AK16" s="283">
        <f>T16*0.25*$K16</f>
        <v/>
      </c>
      <c r="AL16" s="283">
        <f>K16*T16</f>
        <v/>
      </c>
      <c r="AM16" s="283" t="n">
        <v>0.25</v>
      </c>
      <c r="AN16" s="270">
        <f>R16*I16*AM16*0.25</f>
        <v/>
      </c>
      <c r="AO16" s="270">
        <f>R16*I16*AM16</f>
        <v/>
      </c>
      <c r="AP16" s="270">
        <f>S16*I16*AM16*0.25</f>
        <v/>
      </c>
      <c r="AQ16" s="270">
        <f>S16*I16*AM16</f>
        <v/>
      </c>
      <c r="AR16" s="270">
        <f>T16*I16*AM16*0.25</f>
        <v/>
      </c>
      <c r="AS16" s="270">
        <f>T16*I16*AM16</f>
        <v/>
      </c>
      <c r="AT16" s="270">
        <f>1/7</f>
        <v/>
      </c>
      <c r="AU16" s="283" t="n">
        <v>0.25</v>
      </c>
      <c r="AV16" s="270">
        <f>R16*AT16*AU16*0.25</f>
        <v/>
      </c>
      <c r="AW16" s="270">
        <f>R16*AT16*AU16</f>
        <v/>
      </c>
      <c r="AX16" s="270">
        <f>S16*AT16*AU16*0.25</f>
        <v/>
      </c>
      <c r="AY16" s="270">
        <f>S16*AT16*AU16</f>
        <v/>
      </c>
      <c r="AZ16" s="270">
        <f>T16*AT16*AU16*0.25</f>
        <v/>
      </c>
      <c r="BA16" s="270">
        <f>T16*AT16*AU16</f>
        <v/>
      </c>
      <c r="BB16" s="270">
        <f>R16*K16*0.4</f>
        <v/>
      </c>
      <c r="BC16" s="270">
        <f>R16*K16</f>
        <v/>
      </c>
      <c r="BD16" s="270">
        <f>S16*K16*0.4</f>
        <v/>
      </c>
      <c r="BE16" s="270">
        <f>S16*K16</f>
        <v/>
      </c>
      <c r="BF16" s="270">
        <f>T16*K16*0.4</f>
        <v/>
      </c>
      <c r="BG16" s="308">
        <f>T16*K16</f>
        <v/>
      </c>
      <c r="BH16" s="308">
        <f>R16*K16*0.2</f>
        <v/>
      </c>
      <c r="BI16" s="308">
        <f>R16*K16</f>
        <v/>
      </c>
      <c r="BJ16" s="308">
        <f>S16*K16*0.2</f>
        <v/>
      </c>
      <c r="BK16" s="308">
        <f>S16*K16</f>
        <v/>
      </c>
      <c r="BL16" s="308">
        <f>T16*K16*0.2</f>
        <v/>
      </c>
      <c r="BM16" s="311">
        <f>T16*K16</f>
        <v/>
      </c>
      <c r="BN16" s="311">
        <f>R16*K16*0.2</f>
        <v/>
      </c>
      <c r="BO16" s="311">
        <f>K16*R16</f>
        <v/>
      </c>
      <c r="BP16" s="311">
        <f>S16*K16*0.2</f>
        <v/>
      </c>
      <c r="BQ16" s="311">
        <f>K16*S16</f>
        <v/>
      </c>
      <c r="BR16" s="311">
        <f>K16*T16*0.2</f>
        <v/>
      </c>
      <c r="BS16" s="270">
        <f>K16*T16</f>
        <v/>
      </c>
      <c r="BT16" s="270">
        <f>R16*K16*0.2</f>
        <v/>
      </c>
      <c r="BU16" s="270">
        <f>R16*K16</f>
        <v/>
      </c>
      <c r="BV16" s="270">
        <f>S16*K16*0.2</f>
        <v/>
      </c>
      <c r="BW16" s="270">
        <f>S16*K16</f>
        <v/>
      </c>
      <c r="BX16" s="270">
        <f>T16*K16*0.2</f>
        <v/>
      </c>
      <c r="BY16" s="270">
        <f>T16*K16</f>
        <v/>
      </c>
      <c r="BZ16" s="270">
        <f>R16*K16*0.34</f>
        <v/>
      </c>
      <c r="CA16" s="270">
        <f>R16*K16</f>
        <v/>
      </c>
      <c r="CB16" s="270">
        <f>S16*K16*0.34</f>
        <v/>
      </c>
      <c r="CC16" s="270">
        <f>S16*K16</f>
        <v/>
      </c>
      <c r="CD16" s="270">
        <f>T16*K16*0.34</f>
        <v/>
      </c>
      <c r="CE16" s="270">
        <f>T16*K16</f>
        <v/>
      </c>
    </row>
    <row r="17" ht="76.5" customFormat="1" customHeight="1" s="270">
      <c r="A17" s="270" t="n">
        <v>14</v>
      </c>
      <c r="B17" s="269" t="inlineStr">
        <is>
          <t>Yıllık Yağış</t>
        </is>
      </c>
      <c r="C17" s="269" t="inlineStr">
        <is>
          <t>Dışsal Faktör: Önemlidir ancak işletmenin yönetemeyeceği "sabit" bir doğal koşul olduğu için ağırlığı daha düşüktür.</t>
        </is>
      </c>
      <c r="D17" s="270">
        <f>ESG_FO_Makale!$G$17</f>
        <v/>
      </c>
      <c r="E17" s="270" t="n">
        <v>0.0175</v>
      </c>
      <c r="F17" s="270">
        <f>D17*E17</f>
        <v/>
      </c>
      <c r="G17" s="270">
        <f>ESG_FO_AnaBlok!$G$17</f>
        <v/>
      </c>
      <c r="H17" s="270">
        <f>E_AltGruplar!$G$17</f>
        <v/>
      </c>
      <c r="I17" s="270">
        <f>E_SuYonetim!J25</f>
        <v/>
      </c>
      <c r="J17" s="270">
        <f>G17*H17*I17</f>
        <v/>
      </c>
      <c r="K17" s="270">
        <f>H17*I17</f>
        <v/>
      </c>
      <c r="L17" s="270" t="inlineStr">
        <is>
          <t>263 mm yıllık yağış ile yarı-çöl iklimi.</t>
        </is>
      </c>
      <c r="M17" s="270" t="n">
        <v>2</v>
      </c>
      <c r="N17" s="270" t="inlineStr">
        <is>
          <t>428 mm yıllık yağış ile  ekolojik konforu göreli yüksektir.</t>
        </is>
      </c>
      <c r="O17" s="271" t="n">
        <v>4</v>
      </c>
      <c r="P17" s="270" t="inlineStr">
        <is>
          <t>298 mm yıllık yağış. Konya Havzası’nın kronik yeraltı su seviyesi düşüşü riskiyle karşı karşıya.</t>
        </is>
      </c>
      <c r="Q17" s="270" t="n">
        <v>2</v>
      </c>
      <c r="R17" s="270">
        <f>100*(M17-1)/4</f>
        <v/>
      </c>
      <c r="S17" s="270">
        <f>100*(O17-1)/4</f>
        <v/>
      </c>
      <c r="T17" s="270">
        <f>100*(Q17-1)/4</f>
        <v/>
      </c>
      <c r="U17" s="270">
        <f>R17*J17</f>
        <v/>
      </c>
      <c r="V17" s="270">
        <f>R17*K17</f>
        <v/>
      </c>
      <c r="W17" s="270">
        <f>S17*$J17</f>
        <v/>
      </c>
      <c r="X17" s="270">
        <f>S17*K17</f>
        <v/>
      </c>
      <c r="Y17" s="270">
        <f>T17*$J17</f>
        <v/>
      </c>
      <c r="Z17" s="270">
        <f>T17*K17</f>
        <v/>
      </c>
      <c r="AA17" s="270">
        <f>R17*F17</f>
        <v/>
      </c>
      <c r="AB17" s="270">
        <f>R17*E17</f>
        <v/>
      </c>
      <c r="AC17" s="270">
        <f>S17*F17</f>
        <v/>
      </c>
      <c r="AD17" s="270">
        <f>S17*E17</f>
        <v/>
      </c>
      <c r="AE17" s="270">
        <f>T17*F17</f>
        <v/>
      </c>
      <c r="AF17" s="270">
        <f>T17*E17</f>
        <v/>
      </c>
      <c r="AG17" s="283">
        <f>R17*0.25*K17</f>
        <v/>
      </c>
      <c r="AH17" s="283">
        <f>K17*R17</f>
        <v/>
      </c>
      <c r="AI17" s="283">
        <f>S17*0.25*$K17</f>
        <v/>
      </c>
      <c r="AJ17" s="283">
        <f>S17*K17</f>
        <v/>
      </c>
      <c r="AK17" s="283">
        <f>T17*0.25*$K17</f>
        <v/>
      </c>
      <c r="AL17" s="283">
        <f>K17*T17</f>
        <v/>
      </c>
      <c r="AM17" s="283" t="n">
        <v>0.25</v>
      </c>
      <c r="AN17" s="270">
        <f>R17*I17*AM17*0.25</f>
        <v/>
      </c>
      <c r="AO17" s="270">
        <f>R17*I17*AM17</f>
        <v/>
      </c>
      <c r="AP17" s="270">
        <f>S17*I17*AM17*0.25</f>
        <v/>
      </c>
      <c r="AQ17" s="270">
        <f>S17*I17*AM17</f>
        <v/>
      </c>
      <c r="AR17" s="270">
        <f>T17*I17*AM17*0.25</f>
        <v/>
      </c>
      <c r="AS17" s="270">
        <f>T17*I17*AM17</f>
        <v/>
      </c>
      <c r="AT17" s="270">
        <f>1/7</f>
        <v/>
      </c>
      <c r="AU17" s="283" t="n">
        <v>0.25</v>
      </c>
      <c r="AV17" s="270">
        <f>R17*AT17*AU17*0.25</f>
        <v/>
      </c>
      <c r="AW17" s="270">
        <f>R17*AT17*AU17</f>
        <v/>
      </c>
      <c r="AX17" s="270">
        <f>S17*AT17*AU17*0.25</f>
        <v/>
      </c>
      <c r="AY17" s="270">
        <f>S17*AT17*AU17</f>
        <v/>
      </c>
      <c r="AZ17" s="270">
        <f>T17*AT17*AU17*0.25</f>
        <v/>
      </c>
      <c r="BA17" s="270">
        <f>T17*AT17*AU17</f>
        <v/>
      </c>
      <c r="BB17" s="270">
        <f>R17*K17*0.4</f>
        <v/>
      </c>
      <c r="BC17" s="270">
        <f>R17*K17</f>
        <v/>
      </c>
      <c r="BD17" s="270">
        <f>S17*K17*0.4</f>
        <v/>
      </c>
      <c r="BE17" s="270">
        <f>S17*K17</f>
        <v/>
      </c>
      <c r="BF17" s="270">
        <f>T17*K17*0.4</f>
        <v/>
      </c>
      <c r="BG17" s="308">
        <f>T17*K17</f>
        <v/>
      </c>
      <c r="BH17" s="308">
        <f>R17*K17*0.2</f>
        <v/>
      </c>
      <c r="BI17" s="308">
        <f>R17*K17</f>
        <v/>
      </c>
      <c r="BJ17" s="308">
        <f>S17*K17*0.2</f>
        <v/>
      </c>
      <c r="BK17" s="308">
        <f>S17*K17</f>
        <v/>
      </c>
      <c r="BL17" s="308">
        <f>T17*K17*0.2</f>
        <v/>
      </c>
      <c r="BM17" s="311">
        <f>T17*K17</f>
        <v/>
      </c>
      <c r="BN17" s="311">
        <f>R17*K17*0.2</f>
        <v/>
      </c>
      <c r="BO17" s="311">
        <f>K17*R17</f>
        <v/>
      </c>
      <c r="BP17" s="311">
        <f>S17*K17*0.2</f>
        <v/>
      </c>
      <c r="BQ17" s="311">
        <f>K17*S17</f>
        <v/>
      </c>
      <c r="BR17" s="311">
        <f>K17*T17*0.2</f>
        <v/>
      </c>
      <c r="BS17" s="270">
        <f>K17*T17</f>
        <v/>
      </c>
      <c r="BT17" s="270">
        <f>R17*K17*0.2</f>
        <v/>
      </c>
      <c r="BU17" s="270">
        <f>R17*K17</f>
        <v/>
      </c>
      <c r="BV17" s="270">
        <f>S17*K17*0.2</f>
        <v/>
      </c>
      <c r="BW17" s="270">
        <f>S17*K17</f>
        <v/>
      </c>
      <c r="BX17" s="270">
        <f>T17*K17*0.2</f>
        <v/>
      </c>
      <c r="BY17" s="270">
        <f>T17*K17</f>
        <v/>
      </c>
      <c r="BZ17" s="270">
        <f>R17*K17*0.34</f>
        <v/>
      </c>
      <c r="CA17" s="270">
        <f>R17*K17</f>
        <v/>
      </c>
      <c r="CB17" s="270">
        <f>S17*K17*0.34</f>
        <v/>
      </c>
      <c r="CC17" s="270">
        <f>S17*K17</f>
        <v/>
      </c>
      <c r="CD17" s="270">
        <f>T17*K17*0.34</f>
        <v/>
      </c>
      <c r="CE17" s="270">
        <f>T17*K17</f>
        <v/>
      </c>
    </row>
    <row r="18" ht="165" customFormat="1" customHeight="1" s="270">
      <c r="A18" s="270" t="n">
        <v>15</v>
      </c>
      <c r="B18" s="269" t="inlineStr">
        <is>
          <t>Korunan alanlara veya hassas ekosistemlere yakınlık</t>
        </is>
      </c>
      <c r="C18" s="269" t="inlineStr">
        <is>
          <t>Risk Yönetimi: İşletme faaliyetlerinin çevredeki sit alanlarına veya sulak alanlara olan etkisinin yönetilmesidir.</t>
        </is>
      </c>
      <c r="D18" s="270">
        <f>ESG_FO_Makale!$G$17</f>
        <v/>
      </c>
      <c r="E18" s="270" t="n">
        <v>0.02</v>
      </c>
      <c r="F18" s="270">
        <f>D18*E18</f>
        <v/>
      </c>
      <c r="G18" s="270">
        <f>ESG_FO_AnaBlok!$G$17</f>
        <v/>
      </c>
      <c r="H18" s="270">
        <f>E_AltGruplar!$G$18</f>
        <v/>
      </c>
      <c r="I18" s="270">
        <f>E_BiyoToprak!H17</f>
        <v/>
      </c>
      <c r="J18" s="270">
        <f>G18*H18*I18</f>
        <v/>
      </c>
      <c r="K18" s="270">
        <f>H18*I18</f>
        <v/>
      </c>
      <c r="L18" s="270" t="inlineStr">
        <is>
          <t xml:space="preserve">İşletme bünyesinde yer alan Asya Ceylanı koruma alanı ve Suriye sınırındaki hassas ekosistem, İşletmeyi doğrudan bir "ex-situ koruma merkezi" haline getirir. </t>
        </is>
      </c>
      <c r="M18" s="270" t="n">
        <v>5</v>
      </c>
      <c r="N18" s="270" t="inlineStr">
        <is>
          <t>İşletmenin Marmara Havzası’ndaki konumu, Uluabat Gölü ve Kocaçay Deltası gibi hassas sulak alanlarla ilişkili çevresel risklerin dikkate alınmasını gerektirmektedir. Safkan Arap atı mera alanlarının bulunması da mera yönetimi ve habitat bütünlüğü bakımından ek bir değerlendirme alanı oluşturmaktadır.</t>
        </is>
      </c>
      <c r="O18" s="270" t="n">
        <v>4</v>
      </c>
      <c r="P18" s="270" t="inlineStr">
        <is>
          <t xml:space="preserve">
İşletme Konya Havzası’ndaki bozkır ekosistemi içinde yer almakta ve geniş tabi mera alanları nedeniyle bölgesel biyolojik çeşitlilik bakımından önem taşıyabilecek bir arazi varlığına sahiptir. </t>
        </is>
      </c>
      <c r="Q18" s="270" t="n">
        <v>3</v>
      </c>
      <c r="R18" s="270">
        <f>100*(M18-1)/4</f>
        <v/>
      </c>
      <c r="S18" s="270">
        <f>100*(O18-1)/4</f>
        <v/>
      </c>
      <c r="T18" s="270">
        <f>100*(Q18-1)/4</f>
        <v/>
      </c>
      <c r="U18" s="270">
        <f>R18*J18</f>
        <v/>
      </c>
      <c r="V18" s="270">
        <f>R18*K18</f>
        <v/>
      </c>
      <c r="W18" s="270">
        <f>S18*$J18</f>
        <v/>
      </c>
      <c r="X18" s="270">
        <f>S18*K18</f>
        <v/>
      </c>
      <c r="Y18" s="270">
        <f>T18*$J18</f>
        <v/>
      </c>
      <c r="Z18" s="270">
        <f>T18*K18</f>
        <v/>
      </c>
      <c r="AA18" s="270">
        <f>R18*F18</f>
        <v/>
      </c>
      <c r="AB18" s="270">
        <f>R18*E18</f>
        <v/>
      </c>
      <c r="AC18" s="270">
        <f>S18*F18</f>
        <v/>
      </c>
      <c r="AD18" s="270">
        <f>S18*E18</f>
        <v/>
      </c>
      <c r="AE18" s="270">
        <f>T18*F18</f>
        <v/>
      </c>
      <c r="AF18" s="270">
        <f>T18*E18</f>
        <v/>
      </c>
      <c r="AG18" s="283">
        <f>R18*0.25*K18</f>
        <v/>
      </c>
      <c r="AH18" s="283">
        <f>K18*R18</f>
        <v/>
      </c>
      <c r="AI18" s="283">
        <f>S18*0.25*$K18</f>
        <v/>
      </c>
      <c r="AJ18" s="283">
        <f>S18*K18</f>
        <v/>
      </c>
      <c r="AK18" s="283">
        <f>T18*0.25*$K18</f>
        <v/>
      </c>
      <c r="AL18" s="283">
        <f>K18*T18</f>
        <v/>
      </c>
      <c r="AM18" s="283" t="n">
        <v>0.25</v>
      </c>
      <c r="AN18" s="270">
        <f>R18*I18*AM18*0.25</f>
        <v/>
      </c>
      <c r="AO18" s="270">
        <f>R18*I18*AM18</f>
        <v/>
      </c>
      <c r="AP18" s="270">
        <f>S18*I18*AM18*0.25</f>
        <v/>
      </c>
      <c r="AQ18" s="270">
        <f>S18*I18*AM18</f>
        <v/>
      </c>
      <c r="AR18" s="270">
        <f>T18*I18*AM18*0.25</f>
        <v/>
      </c>
      <c r="AS18" s="270">
        <f>T18*I18*AM18</f>
        <v/>
      </c>
      <c r="AT18" s="270">
        <f>1/5</f>
        <v/>
      </c>
      <c r="AU18" s="283" t="n">
        <v>0.25</v>
      </c>
      <c r="AV18" s="270">
        <f>R18*AT18*AU18*0.25</f>
        <v/>
      </c>
      <c r="AW18" s="270">
        <f>R18*AT18*AU18</f>
        <v/>
      </c>
      <c r="AX18" s="270">
        <f>S18*AT18*AU18*0.25</f>
        <v/>
      </c>
      <c r="AY18" s="270">
        <f>S18*AT18*AU18</f>
        <v/>
      </c>
      <c r="AZ18" s="270">
        <f>T18*AT18*AU18*0.25</f>
        <v/>
      </c>
      <c r="BA18" s="270">
        <f>T18*AT18*AU18</f>
        <v/>
      </c>
      <c r="BB18" s="270">
        <f>R18*K18*0.4</f>
        <v/>
      </c>
      <c r="BC18" s="270">
        <f>R18*K18</f>
        <v/>
      </c>
      <c r="BD18" s="270">
        <f>S18*K18*0.4</f>
        <v/>
      </c>
      <c r="BE18" s="270">
        <f>S18*K18</f>
        <v/>
      </c>
      <c r="BF18" s="270">
        <f>T18*K18*0.4</f>
        <v/>
      </c>
      <c r="BG18" s="308">
        <f>T18*K18</f>
        <v/>
      </c>
      <c r="BH18" s="308">
        <f>R18*K18*0.2</f>
        <v/>
      </c>
      <c r="BI18" s="308">
        <f>R18*K18</f>
        <v/>
      </c>
      <c r="BJ18" s="308">
        <f>S18*K18*0.2</f>
        <v/>
      </c>
      <c r="BK18" s="308">
        <f>S18*K18</f>
        <v/>
      </c>
      <c r="BL18" s="308">
        <f>T18*K18*0.2</f>
        <v/>
      </c>
      <c r="BM18" s="311">
        <f>T18*K18</f>
        <v/>
      </c>
      <c r="BN18" s="311">
        <f>R18*K18*0.2</f>
        <v/>
      </c>
      <c r="BO18" s="311">
        <f>K18*R18</f>
        <v/>
      </c>
      <c r="BP18" s="311">
        <f>S18*K18*0.2</f>
        <v/>
      </c>
      <c r="BQ18" s="311">
        <f>K18*S18</f>
        <v/>
      </c>
      <c r="BR18" s="311">
        <f>K18*T18*0.2</f>
        <v/>
      </c>
      <c r="BS18" s="270">
        <f>K18*T18</f>
        <v/>
      </c>
      <c r="BT18" s="270">
        <f>R18*K18*0.2</f>
        <v/>
      </c>
      <c r="BU18" s="270">
        <f>R18*K18</f>
        <v/>
      </c>
      <c r="BV18" s="270">
        <f>S18*K18*0.2</f>
        <v/>
      </c>
      <c r="BW18" s="270">
        <f>S18*K18</f>
        <v/>
      </c>
      <c r="BX18" s="270">
        <f>T18*K18*0.2</f>
        <v/>
      </c>
      <c r="BY18" s="270">
        <f>T18*K18</f>
        <v/>
      </c>
      <c r="BZ18" s="270">
        <f>R18*K18*0.34</f>
        <v/>
      </c>
      <c r="CA18" s="270">
        <f>R18*K18</f>
        <v/>
      </c>
      <c r="CB18" s="270">
        <f>S18*K18*0.34</f>
        <v/>
      </c>
      <c r="CC18" s="270">
        <f>S18*K18</f>
        <v/>
      </c>
      <c r="CD18" s="270">
        <f>T18*K18*0.34</f>
        <v/>
      </c>
      <c r="CE18" s="270">
        <f>T18*K18</f>
        <v/>
      </c>
    </row>
    <row r="19" ht="120" customFormat="1" customHeight="1" s="270">
      <c r="A19" s="270" t="n">
        <v>16</v>
      </c>
      <c r="B19" s="269" t="inlineStr">
        <is>
          <t>Biyoçeşitliliği destekleme projeleri</t>
        </is>
      </c>
      <c r="C19" s="269" t="inlineStr">
        <is>
          <t>Ekosistem Hizmetleri: İşletme sınırları içindeki endemik bitki/hayvan türlerinin korunması (Örn: Ceylanpınar'daki ceylanlar veya gen kaynakları).</t>
        </is>
      </c>
      <c r="D19" s="270">
        <f>ESG_FO_Makale!$G$17</f>
        <v/>
      </c>
      <c r="E19" s="270" t="n">
        <v>0.03</v>
      </c>
      <c r="F19" s="270">
        <f>D19*E19</f>
        <v/>
      </c>
      <c r="G19" s="270">
        <f>ESG_FO_AnaBlok!$G$17</f>
        <v/>
      </c>
      <c r="H19" s="270">
        <f>E_AltGruplar!$G$18</f>
        <v/>
      </c>
      <c r="I19" s="270">
        <f>E_BiyoToprak!H18</f>
        <v/>
      </c>
      <c r="J19" s="270">
        <f>G19*H19*I19</f>
        <v/>
      </c>
      <c r="K19" s="270">
        <f>H19*I19</f>
        <v/>
      </c>
      <c r="L19" s="270" t="inlineStr">
        <is>
          <t>Ceylan ve Gen Kaynakları (Asya Ceylanı) koruma projeleri.</t>
        </is>
      </c>
      <c r="M19" s="270" t="n">
        <v>5</v>
      </c>
      <c r="N19" s="270" t="inlineStr">
        <is>
          <t xml:space="preserve">Safkan Arap atı yetiştiriciliği ve doğal mera alanlarının korunması, genetik kaynakların ve mera ekosistemlerinin sürdürülmesi bakımından olumlu uygulamalar olarak değerlendirilmiştir. </t>
        </is>
      </c>
      <c r="O19" s="271" t="n">
        <v>5</v>
      </c>
      <c r="P19" s="270" t="inlineStr">
        <is>
          <t>İşletmenin tabi mera varlığını koruması, bozkır ekosistemi ve yerel türler açısından potansiyel bir koruma katkısı sağlayabilir ancak endüstriyel çeşitlilik yüksek olmasına rağmen  tür koruma bulunmamaktadır.</t>
        </is>
      </c>
      <c r="Q19" s="270" t="n">
        <v>3</v>
      </c>
      <c r="R19" s="270">
        <f>100*(M19-1)/4</f>
        <v/>
      </c>
      <c r="S19" s="270">
        <f>100*(O19-1)/4</f>
        <v/>
      </c>
      <c r="T19" s="270">
        <f>100*(Q19-1)/4</f>
        <v/>
      </c>
      <c r="U19" s="270">
        <f>R19*J19</f>
        <v/>
      </c>
      <c r="V19" s="270">
        <f>R19*K19</f>
        <v/>
      </c>
      <c r="W19" s="270">
        <f>S19*$J19</f>
        <v/>
      </c>
      <c r="X19" s="270">
        <f>S19*K19</f>
        <v/>
      </c>
      <c r="Y19" s="270">
        <f>T19*$J19</f>
        <v/>
      </c>
      <c r="Z19" s="270">
        <f>T19*K19</f>
        <v/>
      </c>
      <c r="AA19" s="270">
        <f>R19*F19</f>
        <v/>
      </c>
      <c r="AB19" s="270">
        <f>R19*E19</f>
        <v/>
      </c>
      <c r="AC19" s="270">
        <f>S19*F19</f>
        <v/>
      </c>
      <c r="AD19" s="270">
        <f>S19*E19</f>
        <v/>
      </c>
      <c r="AE19" s="270">
        <f>T19*F19</f>
        <v/>
      </c>
      <c r="AF19" s="270">
        <f>T19*E19</f>
        <v/>
      </c>
      <c r="AG19" s="283">
        <f>R19*0.25*K19</f>
        <v/>
      </c>
      <c r="AH19" s="283">
        <f>K19*R19</f>
        <v/>
      </c>
      <c r="AI19" s="283">
        <f>S19*0.25*$K19</f>
        <v/>
      </c>
      <c r="AJ19" s="283">
        <f>S19*K19</f>
        <v/>
      </c>
      <c r="AK19" s="283">
        <f>T19*0.25*$K19</f>
        <v/>
      </c>
      <c r="AL19" s="283">
        <f>K19*T19</f>
        <v/>
      </c>
      <c r="AM19" s="283" t="n">
        <v>0.25</v>
      </c>
      <c r="AN19" s="270">
        <f>R19*I19*AM19*0.25</f>
        <v/>
      </c>
      <c r="AO19" s="270">
        <f>R19*I19*AM19</f>
        <v/>
      </c>
      <c r="AP19" s="270">
        <f>S19*I19*AM19*0.25</f>
        <v/>
      </c>
      <c r="AQ19" s="270">
        <f>S19*I19*AM19</f>
        <v/>
      </c>
      <c r="AR19" s="270">
        <f>T19*I19*AM19*0.25</f>
        <v/>
      </c>
      <c r="AS19" s="270">
        <f>T19*I19*AM19</f>
        <v/>
      </c>
      <c r="AT19" s="270">
        <f>1/5</f>
        <v/>
      </c>
      <c r="AU19" s="283" t="n">
        <v>0.25</v>
      </c>
      <c r="AV19" s="270">
        <f>R19*AT19*AU19*0.25</f>
        <v/>
      </c>
      <c r="AW19" s="270">
        <f>R19*AT19*AU19</f>
        <v/>
      </c>
      <c r="AX19" s="270">
        <f>S19*AT19*AU19*0.25</f>
        <v/>
      </c>
      <c r="AY19" s="270">
        <f>S19*AT19*AU19</f>
        <v/>
      </c>
      <c r="AZ19" s="270">
        <f>T19*AT19*AU19*0.25</f>
        <v/>
      </c>
      <c r="BA19" s="270">
        <f>T19*AT19*AU19</f>
        <v/>
      </c>
      <c r="BB19" s="270">
        <f>R19*K19*0.4</f>
        <v/>
      </c>
      <c r="BC19" s="270">
        <f>R19*K19</f>
        <v/>
      </c>
      <c r="BD19" s="270">
        <f>S19*K19*0.4</f>
        <v/>
      </c>
      <c r="BE19" s="270">
        <f>S19*K19</f>
        <v/>
      </c>
      <c r="BF19" s="270">
        <f>T19*K19*0.4</f>
        <v/>
      </c>
      <c r="BG19" s="308">
        <f>T19*K19</f>
        <v/>
      </c>
      <c r="BH19" s="308">
        <f>R19*K19*0.2</f>
        <v/>
      </c>
      <c r="BI19" s="308">
        <f>R19*K19</f>
        <v/>
      </c>
      <c r="BJ19" s="308">
        <f>S19*K19*0.2</f>
        <v/>
      </c>
      <c r="BK19" s="308">
        <f>S19*K19</f>
        <v/>
      </c>
      <c r="BL19" s="308">
        <f>T19*K19*0.2</f>
        <v/>
      </c>
      <c r="BM19" s="311">
        <f>T19*K19</f>
        <v/>
      </c>
      <c r="BN19" s="311">
        <f>R19*K19*0.2</f>
        <v/>
      </c>
      <c r="BO19" s="311">
        <f>K19*R19</f>
        <v/>
      </c>
      <c r="BP19" s="311">
        <f>S19*K19*0.2</f>
        <v/>
      </c>
      <c r="BQ19" s="311">
        <f>K19*S19</f>
        <v/>
      </c>
      <c r="BR19" s="311">
        <f>K19*T19*0.2</f>
        <v/>
      </c>
      <c r="BS19" s="270">
        <f>K19*T19</f>
        <v/>
      </c>
      <c r="BT19" s="270">
        <f>R19*K19*0.2</f>
        <v/>
      </c>
      <c r="BU19" s="270">
        <f>R19*K19</f>
        <v/>
      </c>
      <c r="BV19" s="270">
        <f>S19*K19*0.2</f>
        <v/>
      </c>
      <c r="BW19" s="270">
        <f>S19*K19</f>
        <v/>
      </c>
      <c r="BX19" s="270">
        <f>T19*K19*0.2</f>
        <v/>
      </c>
      <c r="BY19" s="270">
        <f>T19*K19</f>
        <v/>
      </c>
      <c r="BZ19" s="270">
        <f>R19*K19*0.34</f>
        <v/>
      </c>
      <c r="CA19" s="270">
        <f>R19*K19</f>
        <v/>
      </c>
      <c r="CB19" s="270">
        <f>S19*K19*0.34</f>
        <v/>
      </c>
      <c r="CC19" s="270">
        <f>S19*K19</f>
        <v/>
      </c>
      <c r="CD19" s="270">
        <f>T19*K19*0.34</f>
        <v/>
      </c>
      <c r="CE19" s="270">
        <f>T19*K19</f>
        <v/>
      </c>
    </row>
    <row r="20" ht="102" customFormat="1" customHeight="1" s="270">
      <c r="A20" s="270" t="n">
        <v>17</v>
      </c>
      <c r="B20" s="269" t="inlineStr">
        <is>
          <t>Toprak analizi</t>
        </is>
      </c>
      <c r="C20" s="269" t="inlineStr">
        <is>
          <t>Veri Odaklılık: Gübrelemenin analize dayalı yapılması, yeraltı sularının kirlenmesini önler ve maliyeti düşürür. Denetimin "doğrulanabilir" ayağıdır.</t>
        </is>
      </c>
      <c r="D20" s="270">
        <f>ESG_FO_Makale!$G$17</f>
        <v/>
      </c>
      <c r="E20" s="270" t="n">
        <v>0.05</v>
      </c>
      <c r="F20" s="270">
        <f>D20*E20</f>
        <v/>
      </c>
      <c r="G20" s="270">
        <f>ESG_FO_AnaBlok!$G$17</f>
        <v/>
      </c>
      <c r="H20" s="270">
        <f>E_AltGruplar!$G$18</f>
        <v/>
      </c>
      <c r="I20" s="270">
        <f>E_BiyoToprak!H19</f>
        <v/>
      </c>
      <c r="J20" s="270">
        <f>G20*H20*I20</f>
        <v/>
      </c>
      <c r="K20" s="270">
        <f>H20*I20</f>
        <v/>
      </c>
      <c r="L20" s="270" t="inlineStr">
        <is>
          <t>İşletmelerin toprak analizleri program dahilinde yapılmakta gübre ihtiyacı ekilen ürün çeşidine göre ayarlanmaktadır.</t>
        </is>
      </c>
      <c r="M20" s="270" t="n">
        <v>5</v>
      </c>
      <c r="N20" s="270" t="inlineStr">
        <is>
          <t>İşletmelerin toprak analizleri program dahilinde yapılmakta gübre ihtiyacı ekilen ürün çeşidine göre ayarlanmaktadır.</t>
        </is>
      </c>
      <c r="O20" s="271" t="n">
        <v>5</v>
      </c>
      <c r="P20" s="270" t="inlineStr">
        <is>
          <t>İşletmelerin toprak analizleri program dahilinde yapılmakta gübre ihtiyacı ekilen ürün çeşidine göre ayarlanmaktadır.</t>
        </is>
      </c>
      <c r="Q20" s="270" t="n">
        <v>5</v>
      </c>
      <c r="R20" s="270">
        <f>100*(M20-1)/4</f>
        <v/>
      </c>
      <c r="S20" s="270">
        <f>100*(O20-1)/4</f>
        <v/>
      </c>
      <c r="T20" s="270">
        <f>100*(Q20-1)/4</f>
        <v/>
      </c>
      <c r="U20" s="270">
        <f>R20*J20</f>
        <v/>
      </c>
      <c r="V20" s="270">
        <f>R20*K20</f>
        <v/>
      </c>
      <c r="W20" s="270">
        <f>S20*$J20</f>
        <v/>
      </c>
      <c r="X20" s="270">
        <f>S20*K20</f>
        <v/>
      </c>
      <c r="Y20" s="270">
        <f>T20*$J20</f>
        <v/>
      </c>
      <c r="Z20" s="270">
        <f>T20*K20</f>
        <v/>
      </c>
      <c r="AA20" s="270">
        <f>R20*F20</f>
        <v/>
      </c>
      <c r="AB20" s="270">
        <f>R20*E20</f>
        <v/>
      </c>
      <c r="AC20" s="270">
        <f>S20*F20</f>
        <v/>
      </c>
      <c r="AD20" s="270">
        <f>S20*E20</f>
        <v/>
      </c>
      <c r="AE20" s="270">
        <f>T20*F20</f>
        <v/>
      </c>
      <c r="AF20" s="270">
        <f>T20*E20</f>
        <v/>
      </c>
      <c r="AG20" s="283">
        <f>R20*0.25*K20</f>
        <v/>
      </c>
      <c r="AH20" s="283">
        <f>K20*R20</f>
        <v/>
      </c>
      <c r="AI20" s="283">
        <f>S20*0.25*$K20</f>
        <v/>
      </c>
      <c r="AJ20" s="283">
        <f>S20*K20</f>
        <v/>
      </c>
      <c r="AK20" s="283">
        <f>T20*0.25*$K20</f>
        <v/>
      </c>
      <c r="AL20" s="283">
        <f>K20*T20</f>
        <v/>
      </c>
      <c r="AM20" s="283" t="n">
        <v>0.25</v>
      </c>
      <c r="AN20" s="270">
        <f>R20*I20*AM20*0.25</f>
        <v/>
      </c>
      <c r="AO20" s="270">
        <f>R20*I20*AM20</f>
        <v/>
      </c>
      <c r="AP20" s="270">
        <f>S20*I20*AM20*0.25</f>
        <v/>
      </c>
      <c r="AQ20" s="270">
        <f>S20*I20*AM20</f>
        <v/>
      </c>
      <c r="AR20" s="270">
        <f>T20*I20*AM20*0.25</f>
        <v/>
      </c>
      <c r="AS20" s="270">
        <f>T20*I20*AM20</f>
        <v/>
      </c>
      <c r="AT20" s="270">
        <f>1/5</f>
        <v/>
      </c>
      <c r="AU20" s="283" t="n">
        <v>0.25</v>
      </c>
      <c r="AV20" s="270">
        <f>R20*AT20*AU20*0.25</f>
        <v/>
      </c>
      <c r="AW20" s="270">
        <f>R20*AT20*AU20</f>
        <v/>
      </c>
      <c r="AX20" s="270">
        <f>S20*AT20*AU20*0.25</f>
        <v/>
      </c>
      <c r="AY20" s="270">
        <f>S20*AT20*AU20</f>
        <v/>
      </c>
      <c r="AZ20" s="270">
        <f>T20*AT20*AU20*0.25</f>
        <v/>
      </c>
      <c r="BA20" s="270">
        <f>T20*AT20*AU20</f>
        <v/>
      </c>
      <c r="BB20" s="270">
        <f>R20*K20*0.4</f>
        <v/>
      </c>
      <c r="BC20" s="270">
        <f>R20*K20</f>
        <v/>
      </c>
      <c r="BD20" s="270">
        <f>S20*K20*0.4</f>
        <v/>
      </c>
      <c r="BE20" s="270">
        <f>S20*K20</f>
        <v/>
      </c>
      <c r="BF20" s="270">
        <f>T20*K20*0.4</f>
        <v/>
      </c>
      <c r="BG20" s="308">
        <f>T20*K20</f>
        <v/>
      </c>
      <c r="BH20" s="308">
        <f>R20*K20*0.2</f>
        <v/>
      </c>
      <c r="BI20" s="308">
        <f>R20*K20</f>
        <v/>
      </c>
      <c r="BJ20" s="308">
        <f>S20*K20*0.2</f>
        <v/>
      </c>
      <c r="BK20" s="308">
        <f>S20*K20</f>
        <v/>
      </c>
      <c r="BL20" s="308">
        <f>T20*K20*0.2</f>
        <v/>
      </c>
      <c r="BM20" s="311">
        <f>T20*K20</f>
        <v/>
      </c>
      <c r="BN20" s="311">
        <f>R20*K20*0.2</f>
        <v/>
      </c>
      <c r="BO20" s="311">
        <f>K20*R20</f>
        <v/>
      </c>
      <c r="BP20" s="311">
        <f>S20*K20*0.2</f>
        <v/>
      </c>
      <c r="BQ20" s="311">
        <f>K20*S20</f>
        <v/>
      </c>
      <c r="BR20" s="311">
        <f>K20*T20*0.2</f>
        <v/>
      </c>
      <c r="BS20" s="270">
        <f>K20*T20</f>
        <v/>
      </c>
      <c r="BT20" s="270">
        <f>R20*K20*0.2</f>
        <v/>
      </c>
      <c r="BU20" s="270">
        <f>R20*K20</f>
        <v/>
      </c>
      <c r="BV20" s="270">
        <f>S20*K20*0.2</f>
        <v/>
      </c>
      <c r="BW20" s="270">
        <f>S20*K20</f>
        <v/>
      </c>
      <c r="BX20" s="270">
        <f>T20*K20*0.2</f>
        <v/>
      </c>
      <c r="BY20" s="270">
        <f>T20*K20</f>
        <v/>
      </c>
      <c r="BZ20" s="270">
        <f>R20*K20*0.34</f>
        <v/>
      </c>
      <c r="CA20" s="270">
        <f>R20*K20</f>
        <v/>
      </c>
      <c r="CB20" s="270">
        <f>S20*K20*0.34</f>
        <v/>
      </c>
      <c r="CC20" s="270">
        <f>S20*K20</f>
        <v/>
      </c>
      <c r="CD20" s="270">
        <f>T20*K20*0.34</f>
        <v/>
      </c>
      <c r="CE20" s="270">
        <f>T20*K20</f>
        <v/>
      </c>
    </row>
    <row r="21" ht="114.75" customFormat="1" customHeight="1" s="270">
      <c r="A21" s="270" t="n">
        <v>18</v>
      </c>
      <c r="B21" s="269" t="inlineStr">
        <is>
          <t>Münavebe</t>
        </is>
      </c>
      <c r="C21" s="269" t="inlineStr">
        <is>
          <t>Verimlilik &amp; Sağlık: Toprağın yorulmasını engeller, hastalık zincirini kırar ve kimyasal gübre ihtiyacını azaltır. Sürdürülebilirliğin en temel operasyonel göstergesidir.</t>
        </is>
      </c>
      <c r="D21" s="270">
        <f>ESG_FO_Makale!$G$17</f>
        <v/>
      </c>
      <c r="E21" s="270" t="n">
        <v>0.06</v>
      </c>
      <c r="F21" s="270">
        <f>D21*E21</f>
        <v/>
      </c>
      <c r="G21" s="270">
        <f>ESG_FO_AnaBlok!$G$17</f>
        <v/>
      </c>
      <c r="H21" s="270">
        <f>E_AltGruplar!$G$18</f>
        <v/>
      </c>
      <c r="I21" s="270">
        <f>E_BiyoToprak!H20</f>
        <v/>
      </c>
      <c r="J21" s="270">
        <f>G21*H21*I21</f>
        <v/>
      </c>
      <c r="K21" s="270">
        <f>H21*I21</f>
        <v/>
      </c>
      <c r="L21" s="270" t="inlineStr">
        <is>
          <t>Münavebe yöntemi uygulanmaktadır.</t>
        </is>
      </c>
      <c r="M21" s="270" t="n">
        <v>5</v>
      </c>
      <c r="N21" s="270" t="inlineStr">
        <is>
          <t>Münavebe yöntemi uygulanmaktadır.</t>
        </is>
      </c>
      <c r="O21" s="271" t="n">
        <v>5</v>
      </c>
      <c r="P21" s="270" t="inlineStr">
        <is>
          <t>Münavebe yöntemi uygulanmaktadır.</t>
        </is>
      </c>
      <c r="Q21" s="270" t="n">
        <v>5</v>
      </c>
      <c r="R21" s="270">
        <f>100*(M21-1)/4</f>
        <v/>
      </c>
      <c r="S21" s="270">
        <f>100*(O21-1)/4</f>
        <v/>
      </c>
      <c r="T21" s="270">
        <f>100*(Q21-1)/4</f>
        <v/>
      </c>
      <c r="U21" s="270">
        <f>R21*J21</f>
        <v/>
      </c>
      <c r="V21" s="270">
        <f>R21*K21</f>
        <v/>
      </c>
      <c r="W21" s="270">
        <f>S21*$J21</f>
        <v/>
      </c>
      <c r="X21" s="270">
        <f>S21*K21</f>
        <v/>
      </c>
      <c r="Y21" s="270">
        <f>T21*$J21</f>
        <v/>
      </c>
      <c r="Z21" s="270">
        <f>T21*K21</f>
        <v/>
      </c>
      <c r="AA21" s="270">
        <f>R21*F21</f>
        <v/>
      </c>
      <c r="AB21" s="270">
        <f>R21*E21</f>
        <v/>
      </c>
      <c r="AC21" s="270">
        <f>S21*F21</f>
        <v/>
      </c>
      <c r="AD21" s="270">
        <f>S21*E21</f>
        <v/>
      </c>
      <c r="AE21" s="270">
        <f>T21*F21</f>
        <v/>
      </c>
      <c r="AF21" s="270">
        <f>T21*E21</f>
        <v/>
      </c>
      <c r="AG21" s="283">
        <f>R21*0.25*K21</f>
        <v/>
      </c>
      <c r="AH21" s="283">
        <f>K21*R21</f>
        <v/>
      </c>
      <c r="AI21" s="283">
        <f>S21*0.25*$K21</f>
        <v/>
      </c>
      <c r="AJ21" s="283">
        <f>S21*K21</f>
        <v/>
      </c>
      <c r="AK21" s="283">
        <f>T21*0.25*$K21</f>
        <v/>
      </c>
      <c r="AL21" s="283">
        <f>K21*T21</f>
        <v/>
      </c>
      <c r="AM21" s="283" t="n">
        <v>0.25</v>
      </c>
      <c r="AN21" s="270">
        <f>R21*I21*AM21*0.25</f>
        <v/>
      </c>
      <c r="AO21" s="270">
        <f>R21*I21*AM21</f>
        <v/>
      </c>
      <c r="AP21" s="270">
        <f>S21*I21*AM21*0.25</f>
        <v/>
      </c>
      <c r="AQ21" s="270">
        <f>S21*I21*AM21</f>
        <v/>
      </c>
      <c r="AR21" s="270">
        <f>T21*I21*AM21*0.25</f>
        <v/>
      </c>
      <c r="AS21" s="270">
        <f>T21*I21*AM21</f>
        <v/>
      </c>
      <c r="AT21" s="270">
        <f>1/5</f>
        <v/>
      </c>
      <c r="AU21" s="283" t="n">
        <v>0.25</v>
      </c>
      <c r="AV21" s="270">
        <f>R21*AT21*AU21*0.25</f>
        <v/>
      </c>
      <c r="AW21" s="270">
        <f>R21*AT21*AU21</f>
        <v/>
      </c>
      <c r="AX21" s="270">
        <f>S21*AT21*AU21*0.25</f>
        <v/>
      </c>
      <c r="AY21" s="270">
        <f>S21*AT21*AU21</f>
        <v/>
      </c>
      <c r="AZ21" s="270">
        <f>T21*AT21*AU21*0.25</f>
        <v/>
      </c>
      <c r="BA21" s="270">
        <f>T21*AT21*AU21</f>
        <v/>
      </c>
      <c r="BB21" s="270">
        <f>R21*K21*0.4</f>
        <v/>
      </c>
      <c r="BC21" s="270">
        <f>R21*K21</f>
        <v/>
      </c>
      <c r="BD21" s="270">
        <f>S21*K21*0.4</f>
        <v/>
      </c>
      <c r="BE21" s="270">
        <f>S21*K21</f>
        <v/>
      </c>
      <c r="BF21" s="270">
        <f>T21*K21*0.4</f>
        <v/>
      </c>
      <c r="BG21" s="308">
        <f>T21*K21</f>
        <v/>
      </c>
      <c r="BH21" s="308">
        <f>R21*K21*0.2</f>
        <v/>
      </c>
      <c r="BI21" s="308">
        <f>R21*K21</f>
        <v/>
      </c>
      <c r="BJ21" s="308">
        <f>S21*K21*0.2</f>
        <v/>
      </c>
      <c r="BK21" s="308">
        <f>S21*K21</f>
        <v/>
      </c>
      <c r="BL21" s="308">
        <f>T21*K21*0.2</f>
        <v/>
      </c>
      <c r="BM21" s="311">
        <f>T21*K21</f>
        <v/>
      </c>
      <c r="BN21" s="311">
        <f>R21*K21*0.2</f>
        <v/>
      </c>
      <c r="BO21" s="311">
        <f>K21*R21</f>
        <v/>
      </c>
      <c r="BP21" s="311">
        <f>S21*K21*0.2</f>
        <v/>
      </c>
      <c r="BQ21" s="311">
        <f>K21*S21</f>
        <v/>
      </c>
      <c r="BR21" s="311">
        <f>K21*T21*0.2</f>
        <v/>
      </c>
      <c r="BS21" s="270">
        <f>K21*T21</f>
        <v/>
      </c>
      <c r="BT21" s="270">
        <f>R21*K21*0.2</f>
        <v/>
      </c>
      <c r="BU21" s="270">
        <f>R21*K21</f>
        <v/>
      </c>
      <c r="BV21" s="270">
        <f>S21*K21*0.2</f>
        <v/>
      </c>
      <c r="BW21" s="270">
        <f>S21*K21</f>
        <v/>
      </c>
      <c r="BX21" s="270">
        <f>T21*K21*0.2</f>
        <v/>
      </c>
      <c r="BY21" s="270">
        <f>T21*K21</f>
        <v/>
      </c>
      <c r="BZ21" s="270">
        <f>R21*K21*0.34</f>
        <v/>
      </c>
      <c r="CA21" s="270">
        <f>R21*K21</f>
        <v/>
      </c>
      <c r="CB21" s="270">
        <f>S21*K21*0.34</f>
        <v/>
      </c>
      <c r="CC21" s="270">
        <f>S21*K21</f>
        <v/>
      </c>
      <c r="CD21" s="270">
        <f>T21*K21*0.34</f>
        <v/>
      </c>
      <c r="CE21" s="270">
        <f>T21*K21</f>
        <v/>
      </c>
    </row>
    <row r="22" ht="102" customFormat="1" customHeight="1" s="270">
      <c r="A22" s="270" t="n">
        <v>19</v>
      </c>
      <c r="B22" s="269" t="inlineStr">
        <is>
          <t>Erozyonla mücadele</t>
        </is>
      </c>
      <c r="C22" s="269" t="inlineStr">
        <is>
          <t>Fiziksel Koruma: Özellikle rüzgar erozyonuna açık bölgelerde (Ceylanpınar vb.) üst toprak katmanının korunması, varlık yönetiminin ana şartıdır.</t>
        </is>
      </c>
      <c r="D22" s="270">
        <f>ESG_FO_Makale!$G$17</f>
        <v/>
      </c>
      <c r="E22" s="270" t="n">
        <v>0.04000000000000001</v>
      </c>
      <c r="F22" s="270">
        <f>D22*E22</f>
        <v/>
      </c>
      <c r="G22" s="270">
        <f>ESG_FO_AnaBlok!$G$17</f>
        <v/>
      </c>
      <c r="H22" s="270">
        <f>E_AltGruplar!$G$18</f>
        <v/>
      </c>
      <c r="I22" s="270">
        <f>E_BiyoToprak!H21</f>
        <v/>
      </c>
      <c r="J22" s="270">
        <f>G22*H22*I22</f>
        <v/>
      </c>
      <c r="K22" s="270">
        <f>H22*I22</f>
        <v/>
      </c>
      <c r="L22" s="270" t="inlineStr">
        <is>
          <t>Ağaçlandırma çalışmaları yapılmaktadır.</t>
        </is>
      </c>
      <c r="M22" s="270" t="n">
        <v>5</v>
      </c>
      <c r="N22" s="270" t="inlineStr">
        <is>
          <t>Ağaçlandırma çalışmaları yapılmaktadır.</t>
        </is>
      </c>
      <c r="O22" s="271" t="n">
        <v>5</v>
      </c>
      <c r="P22" s="270" t="inlineStr">
        <is>
          <t>Ağaçlandırma çalışmaları yapılmaktadır.</t>
        </is>
      </c>
      <c r="Q22" s="270" t="n">
        <v>5</v>
      </c>
      <c r="R22" s="270">
        <f>100*(M22-1)/4</f>
        <v/>
      </c>
      <c r="S22" s="270">
        <f>100*(O22-1)/4</f>
        <v/>
      </c>
      <c r="T22" s="270">
        <f>100*(Q22-1)/4</f>
        <v/>
      </c>
      <c r="U22" s="270">
        <f>R22*J22</f>
        <v/>
      </c>
      <c r="V22" s="270">
        <f>R22*K22</f>
        <v/>
      </c>
      <c r="W22" s="270">
        <f>S22*$J22</f>
        <v/>
      </c>
      <c r="X22" s="270">
        <f>S22*K22</f>
        <v/>
      </c>
      <c r="Y22" s="270">
        <f>T22*$J22</f>
        <v/>
      </c>
      <c r="Z22" s="270">
        <f>T22*K22</f>
        <v/>
      </c>
      <c r="AA22" s="270">
        <f>R22*F22</f>
        <v/>
      </c>
      <c r="AB22" s="270">
        <f>R22*E22</f>
        <v/>
      </c>
      <c r="AC22" s="270">
        <f>S22*F22</f>
        <v/>
      </c>
      <c r="AD22" s="270">
        <f>S22*E22</f>
        <v/>
      </c>
      <c r="AE22" s="270">
        <f>T22*F22</f>
        <v/>
      </c>
      <c r="AF22" s="270">
        <f>T22*E22</f>
        <v/>
      </c>
      <c r="AG22" s="283">
        <f>R22*0.25*K22</f>
        <v/>
      </c>
      <c r="AH22" s="283">
        <f>K22*R22</f>
        <v/>
      </c>
      <c r="AI22" s="283">
        <f>S22*0.25*$K22</f>
        <v/>
      </c>
      <c r="AJ22" s="283">
        <f>S22*K22</f>
        <v/>
      </c>
      <c r="AK22" s="283">
        <f>T22*0.25*$K22</f>
        <v/>
      </c>
      <c r="AL22" s="283">
        <f>K22*T22</f>
        <v/>
      </c>
      <c r="AM22" s="283" t="n">
        <v>0.25</v>
      </c>
      <c r="AN22" s="270">
        <f>R22*I22*AM22*0.25</f>
        <v/>
      </c>
      <c r="AO22" s="270">
        <f>R22*I22*AM22</f>
        <v/>
      </c>
      <c r="AP22" s="270">
        <f>S22*I22*AM22*0.25</f>
        <v/>
      </c>
      <c r="AQ22" s="270">
        <f>S22*I22*AM22</f>
        <v/>
      </c>
      <c r="AR22" s="270">
        <f>T22*I22*AM22*0.25</f>
        <v/>
      </c>
      <c r="AS22" s="270">
        <f>T22*I22*AM22</f>
        <v/>
      </c>
      <c r="AT22" s="270">
        <f>1/5</f>
        <v/>
      </c>
      <c r="AU22" s="283" t="n">
        <v>0.25</v>
      </c>
      <c r="AV22" s="270">
        <f>R22*AT22*AU22*0.25</f>
        <v/>
      </c>
      <c r="AW22" s="270">
        <f>R22*AT22*AU22</f>
        <v/>
      </c>
      <c r="AX22" s="270">
        <f>S22*AT22*AU22*0.25</f>
        <v/>
      </c>
      <c r="AY22" s="270">
        <f>S22*AT22*AU22</f>
        <v/>
      </c>
      <c r="AZ22" s="270">
        <f>T22*AT22*AU22*0.25</f>
        <v/>
      </c>
      <c r="BA22" s="270">
        <f>T22*AT22*AU22</f>
        <v/>
      </c>
      <c r="BB22" s="270">
        <f>R22*K22*0.4</f>
        <v/>
      </c>
      <c r="BC22" s="270">
        <f>R22*K22</f>
        <v/>
      </c>
      <c r="BD22" s="270">
        <f>S22*K22*0.4</f>
        <v/>
      </c>
      <c r="BE22" s="270">
        <f>S22*K22</f>
        <v/>
      </c>
      <c r="BF22" s="270">
        <f>T22*K22*0.4</f>
        <v/>
      </c>
      <c r="BG22" s="308">
        <f>T22*K22</f>
        <v/>
      </c>
      <c r="BH22" s="308">
        <f>R22*K22*0.2</f>
        <v/>
      </c>
      <c r="BI22" s="308">
        <f>R22*K22</f>
        <v/>
      </c>
      <c r="BJ22" s="308">
        <f>S22*K22*0.2</f>
        <v/>
      </c>
      <c r="BK22" s="308">
        <f>S22*K22</f>
        <v/>
      </c>
      <c r="BL22" s="308">
        <f>T22*K22*0.2</f>
        <v/>
      </c>
      <c r="BM22" s="311">
        <f>T22*K22</f>
        <v/>
      </c>
      <c r="BN22" s="311">
        <f>R22*K22*0.2</f>
        <v/>
      </c>
      <c r="BO22" s="311">
        <f>K22*R22</f>
        <v/>
      </c>
      <c r="BP22" s="311">
        <f>S22*K22*0.2</f>
        <v/>
      </c>
      <c r="BQ22" s="311">
        <f>K22*S22</f>
        <v/>
      </c>
      <c r="BR22" s="311">
        <f>K22*T22*0.2</f>
        <v/>
      </c>
      <c r="BS22" s="270">
        <f>K22*T22</f>
        <v/>
      </c>
      <c r="BT22" s="270">
        <f>R22*K22*0.2</f>
        <v/>
      </c>
      <c r="BU22" s="270">
        <f>R22*K22</f>
        <v/>
      </c>
      <c r="BV22" s="270">
        <f>S22*K22*0.2</f>
        <v/>
      </c>
      <c r="BW22" s="270">
        <f>S22*K22</f>
        <v/>
      </c>
      <c r="BX22" s="270">
        <f>T22*K22*0.2</f>
        <v/>
      </c>
      <c r="BY22" s="270">
        <f>T22*K22</f>
        <v/>
      </c>
      <c r="BZ22" s="270">
        <f>R22*K22*0.34</f>
        <v/>
      </c>
      <c r="CA22" s="270">
        <f>R22*K22</f>
        <v/>
      </c>
      <c r="CB22" s="270">
        <f>S22*K22*0.34</f>
        <v/>
      </c>
      <c r="CC22" s="270">
        <f>S22*K22</f>
        <v/>
      </c>
      <c r="CD22" s="270">
        <f>T22*K22*0.34</f>
        <v/>
      </c>
      <c r="CE22" s="270">
        <f>T22*K22</f>
        <v/>
      </c>
    </row>
    <row r="23" ht="240" customFormat="1" customHeight="1" s="270">
      <c r="A23" s="270" t="n">
        <v>20</v>
      </c>
      <c r="B23" s="269" t="inlineStr">
        <is>
          <t>Gübre Kullanımı (Organik/İnorganik)</t>
        </is>
      </c>
      <c r="C23" s="269" t="inlineStr">
        <is>
          <t>Döngüsellik: Hayvancılık atıklarının (sıvı/katı) biyogaz veya bitkisel üretimde gübre olarak geri kazanılması, TİGEM’in en büyük sürdürülebilirlik avantajıdır.</t>
        </is>
      </c>
      <c r="D23" s="270">
        <f>ESG_FO_Makale!$G$17</f>
        <v/>
      </c>
      <c r="E23" s="270" t="n">
        <v>0.03</v>
      </c>
      <c r="F23" s="270">
        <f>D23*E23</f>
        <v/>
      </c>
      <c r="G23" s="270">
        <f>ESG_FO_AnaBlok!$G$17</f>
        <v/>
      </c>
      <c r="H23" s="270">
        <f>E_AltGruplar!$G$19</f>
        <v/>
      </c>
      <c r="I23" s="270">
        <f>E_AtikKimya!J19</f>
        <v/>
      </c>
      <c r="J23" s="270">
        <f>G23*H23*I23</f>
        <v/>
      </c>
      <c r="K23" s="270">
        <f>H23*I23</f>
        <v/>
      </c>
      <c r="L23" s="270" t="inlineStr">
        <is>
          <t>509.200.000TL inorganik gübre maliyeti yüksek ölçekli yapay gübre harcaması, İşletmenin ölçeğini ve kimyasal bağımlılık riskini ortaya koyarken; Biyogaz tesisi entegrasyonu bu riski yönetme çabasını işaret etmektedir. Toplam arazide(ekilebilir alan:966 bin dekar) dekar başına düşen gübre maliyeti (527,12TL/dekar) ve kimyasal yoğunluğu çevresel baskıyı artırmaktadır.</t>
        </is>
      </c>
      <c r="M23" s="270" t="n">
        <v>3</v>
      </c>
      <c r="N23" s="270" t="inlineStr">
        <is>
          <t>İnorganik gübre harcaması yaklaşık 40,3 milyon TL olarak verilmiştir. Mutlak tutarın diğer işletmelere göre düşük olması olumlu bir işaret olmakla birlikte, ekilebillir alan miktarı 49 bin dekardır (822,44 TL/dekar).</t>
        </is>
      </c>
      <c r="O23" s="271" t="n">
        <v>2</v>
      </c>
      <c r="P23" s="270" t="inlineStr">
        <is>
          <t>Gözlü’de inorganik gübre harcaması yaklaşık 48,1 milyon TL olarak iken alan miktarı 151 bin dekardır (318,54 TL/dekar)</t>
        </is>
      </c>
      <c r="Q23" s="270" t="n">
        <v>4</v>
      </c>
      <c r="R23" s="270">
        <f>100*(M23-1)/4</f>
        <v/>
      </c>
      <c r="S23" s="270">
        <f>100*(O23-1)/4</f>
        <v/>
      </c>
      <c r="T23" s="270">
        <f>100*(Q23-1)/4</f>
        <v/>
      </c>
      <c r="U23" s="270">
        <f>R23*J23</f>
        <v/>
      </c>
      <c r="V23" s="270">
        <f>R23*K23</f>
        <v/>
      </c>
      <c r="W23" s="270">
        <f>S23*$J23</f>
        <v/>
      </c>
      <c r="X23" s="270">
        <f>S23*K23</f>
        <v/>
      </c>
      <c r="Y23" s="270">
        <f>T23*$J23</f>
        <v/>
      </c>
      <c r="Z23" s="270">
        <f>T23*K23</f>
        <v/>
      </c>
      <c r="AA23" s="270">
        <f>R23*F23</f>
        <v/>
      </c>
      <c r="AB23" s="270">
        <f>R23*E23</f>
        <v/>
      </c>
      <c r="AC23" s="270">
        <f>S23*F23</f>
        <v/>
      </c>
      <c r="AD23" s="270">
        <f>S23*E23</f>
        <v/>
      </c>
      <c r="AE23" s="270">
        <f>T23*F23</f>
        <v/>
      </c>
      <c r="AF23" s="270">
        <f>T23*E23</f>
        <v/>
      </c>
      <c r="AG23" s="283">
        <f>R23*0.25*K23</f>
        <v/>
      </c>
      <c r="AH23" s="283">
        <f>K23*R23</f>
        <v/>
      </c>
      <c r="AI23" s="283">
        <f>S23*0.25*$K23</f>
        <v/>
      </c>
      <c r="AJ23" s="283">
        <f>S23*K23</f>
        <v/>
      </c>
      <c r="AK23" s="283">
        <f>T23*0.25*$K23</f>
        <v/>
      </c>
      <c r="AL23" s="283">
        <f>K23*T23</f>
        <v/>
      </c>
      <c r="AM23" s="283" t="n">
        <v>0.25</v>
      </c>
      <c r="AN23" s="270">
        <f>R23*I23*AM23*0.25</f>
        <v/>
      </c>
      <c r="AO23" s="270">
        <f>R23*I23*AM23</f>
        <v/>
      </c>
      <c r="AP23" s="270">
        <f>S23*I23*AM23*0.25</f>
        <v/>
      </c>
      <c r="AQ23" s="270">
        <f>S23*I23*AM23</f>
        <v/>
      </c>
      <c r="AR23" s="270">
        <f>T23*I23*AM23*0.25</f>
        <v/>
      </c>
      <c r="AS23" s="270">
        <f>T23*I23*AM23</f>
        <v/>
      </c>
      <c r="AT23" s="270">
        <f>1/7</f>
        <v/>
      </c>
      <c r="AU23" s="283" t="n">
        <v>0.25</v>
      </c>
      <c r="AV23" s="270">
        <f>R23*AT23*AU23*0.25</f>
        <v/>
      </c>
      <c r="AW23" s="270">
        <f>R23*AT23*AU23</f>
        <v/>
      </c>
      <c r="AX23" s="270">
        <f>S23*AT23*AU23*0.25</f>
        <v/>
      </c>
      <c r="AY23" s="270">
        <f>S23*AT23*AU23</f>
        <v/>
      </c>
      <c r="AZ23" s="270">
        <f>T23*AT23*AU23*0.25</f>
        <v/>
      </c>
      <c r="BA23" s="270">
        <f>T23*AT23*AU23</f>
        <v/>
      </c>
      <c r="BB23" s="270">
        <f>R23*K23*0.4</f>
        <v/>
      </c>
      <c r="BC23" s="270">
        <f>R23*K23</f>
        <v/>
      </c>
      <c r="BD23" s="270">
        <f>S23*K23*0.4</f>
        <v/>
      </c>
      <c r="BE23" s="270">
        <f>S23*K23</f>
        <v/>
      </c>
      <c r="BF23" s="270">
        <f>T23*K23*0.4</f>
        <v/>
      </c>
      <c r="BG23" s="308">
        <f>T23*K23</f>
        <v/>
      </c>
      <c r="BH23" s="308">
        <f>R23*K23*0.2</f>
        <v/>
      </c>
      <c r="BI23" s="308">
        <f>R23*K23</f>
        <v/>
      </c>
      <c r="BJ23" s="308">
        <f>S23*K23*0.2</f>
        <v/>
      </c>
      <c r="BK23" s="308">
        <f>S23*K23</f>
        <v/>
      </c>
      <c r="BL23" s="308">
        <f>T23*K23*0.2</f>
        <v/>
      </c>
      <c r="BM23" s="311">
        <f>T23*K23</f>
        <v/>
      </c>
      <c r="BN23" s="311">
        <f>R23*K23*0.2</f>
        <v/>
      </c>
      <c r="BO23" s="311">
        <f>K23*R23</f>
        <v/>
      </c>
      <c r="BP23" s="311">
        <f>S23*K23*0.2</f>
        <v/>
      </c>
      <c r="BQ23" s="311">
        <f>K23*S23</f>
        <v/>
      </c>
      <c r="BR23" s="311">
        <f>K23*T23*0.2</f>
        <v/>
      </c>
      <c r="BS23" s="270">
        <f>K23*T23</f>
        <v/>
      </c>
      <c r="BT23" s="270">
        <f>R23*K23*0.2</f>
        <v/>
      </c>
      <c r="BU23" s="270">
        <f>R23*K23</f>
        <v/>
      </c>
      <c r="BV23" s="270">
        <f>S23*K23*0.2</f>
        <v/>
      </c>
      <c r="BW23" s="270">
        <f>S23*K23</f>
        <v/>
      </c>
      <c r="BX23" s="270">
        <f>T23*K23*0.2</f>
        <v/>
      </c>
      <c r="BY23" s="270">
        <f>T23*K23</f>
        <v/>
      </c>
      <c r="BZ23" s="270">
        <f>R23*K23*0.34</f>
        <v/>
      </c>
      <c r="CA23" s="270">
        <f>R23*K23</f>
        <v/>
      </c>
      <c r="CB23" s="270">
        <f>S23*K23*0.34</f>
        <v/>
      </c>
      <c r="CC23" s="270">
        <f>S23*K23</f>
        <v/>
      </c>
      <c r="CD23" s="270">
        <f>T23*K23*0.34</f>
        <v/>
      </c>
      <c r="CE23" s="270">
        <f>T23*K23</f>
        <v/>
      </c>
    </row>
    <row r="24" ht="89.25" customFormat="1" customHeight="1" s="270">
      <c r="A24" s="270" t="n">
        <v>21</v>
      </c>
      <c r="B24" s="269" t="inlineStr">
        <is>
          <t>Hayvansal gübre yönetimi</t>
        </is>
      </c>
      <c r="C24" s="269" t="inlineStr">
        <is>
          <t>Emisyon &amp; Maliyet: Sentetik gübreler hem maliyetli hem de yüksek karbon ayak izine sahiptir. Hassas tarımla optimize edilmesi beklenir.</t>
        </is>
      </c>
      <c r="D24" s="270">
        <f>ESG_FO_Makale!$G$17</f>
        <v/>
      </c>
      <c r="E24" s="270" t="n">
        <v>0.04000000000000001</v>
      </c>
      <c r="F24" s="270">
        <f>D24*E24</f>
        <v/>
      </c>
      <c r="G24" s="270">
        <f>ESG_FO_AnaBlok!$G$17</f>
        <v/>
      </c>
      <c r="H24" s="270">
        <f>E_AltGruplar!$G$19</f>
        <v/>
      </c>
      <c r="I24" s="270">
        <f>E_AtikKimya!J20</f>
        <v/>
      </c>
      <c r="J24" s="270">
        <f>G24*H24*I24</f>
        <v/>
      </c>
      <c r="K24" s="270">
        <f>H24*I24</f>
        <v/>
      </c>
      <c r="L24" s="270" t="inlineStr">
        <is>
          <t>Biyogaz tesisi bulunmakla birlikte tesis özel sektörce işletilmektedir.</t>
        </is>
      </c>
      <c r="M24" s="270" t="n">
        <v>4</v>
      </c>
      <c r="N24" s="270" t="inlineStr">
        <is>
          <t xml:space="preserve">Hayvansal atıkların tarımsal üretimde organik gübre olarak değerlendirilme potansiyeli bulunmaktadır. </t>
        </is>
      </c>
      <c r="O24" s="271" t="n">
        <v>3</v>
      </c>
      <c r="P24" s="270" t="inlineStr">
        <is>
          <t>Hayvansal atıkların organik gübre olarak kullanılma potansiyeli bulunmaktadır.</t>
        </is>
      </c>
      <c r="Q24" s="270" t="n">
        <v>3</v>
      </c>
      <c r="R24" s="270">
        <f>100*(M24-1)/4</f>
        <v/>
      </c>
      <c r="S24" s="270">
        <f>100*(O24-1)/4</f>
        <v/>
      </c>
      <c r="T24" s="270">
        <f>100*(Q24-1)/4</f>
        <v/>
      </c>
      <c r="U24" s="270">
        <f>R24*J24</f>
        <v/>
      </c>
      <c r="V24" s="270">
        <f>R24*K24</f>
        <v/>
      </c>
      <c r="W24" s="270">
        <f>S24*$J24</f>
        <v/>
      </c>
      <c r="X24" s="270">
        <f>S24*K24</f>
        <v/>
      </c>
      <c r="Y24" s="270">
        <f>T24*$J24</f>
        <v/>
      </c>
      <c r="Z24" s="270">
        <f>T24*K24</f>
        <v/>
      </c>
      <c r="AA24" s="270">
        <f>R24*F24</f>
        <v/>
      </c>
      <c r="AB24" s="270">
        <f>R24*E24</f>
        <v/>
      </c>
      <c r="AC24" s="270">
        <f>S24*F24</f>
        <v/>
      </c>
      <c r="AD24" s="270">
        <f>S24*E24</f>
        <v/>
      </c>
      <c r="AE24" s="270">
        <f>T24*F24</f>
        <v/>
      </c>
      <c r="AF24" s="270">
        <f>T24*E24</f>
        <v/>
      </c>
      <c r="AG24" s="283">
        <f>R24*0.25*K24</f>
        <v/>
      </c>
      <c r="AH24" s="283">
        <f>K24*R24</f>
        <v/>
      </c>
      <c r="AI24" s="283">
        <f>S24*0.25*$K24</f>
        <v/>
      </c>
      <c r="AJ24" s="283">
        <f>S24*K24</f>
        <v/>
      </c>
      <c r="AK24" s="283">
        <f>T24*0.25*$K24</f>
        <v/>
      </c>
      <c r="AL24" s="283">
        <f>K24*T24</f>
        <v/>
      </c>
      <c r="AM24" s="283" t="n">
        <v>0.25</v>
      </c>
      <c r="AN24" s="270">
        <f>R24*I24*AM24*0.25</f>
        <v/>
      </c>
      <c r="AO24" s="270">
        <f>R24*I24*AM24</f>
        <v/>
      </c>
      <c r="AP24" s="270">
        <f>S24*I24*AM24*0.25</f>
        <v/>
      </c>
      <c r="AQ24" s="270">
        <f>S24*I24*AM24</f>
        <v/>
      </c>
      <c r="AR24" s="270">
        <f>T24*I24*AM24*0.25</f>
        <v/>
      </c>
      <c r="AS24" s="270">
        <f>T24*I24*AM24</f>
        <v/>
      </c>
      <c r="AT24" s="270">
        <f>1/7</f>
        <v/>
      </c>
      <c r="AU24" s="283" t="n">
        <v>0.25</v>
      </c>
      <c r="AV24" s="270">
        <f>R24*AT24*AU24*0.25</f>
        <v/>
      </c>
      <c r="AW24" s="270">
        <f>R24*AT24*AU24</f>
        <v/>
      </c>
      <c r="AX24" s="270">
        <f>S24*AT24*AU24*0.25</f>
        <v/>
      </c>
      <c r="AY24" s="270">
        <f>S24*AT24*AU24</f>
        <v/>
      </c>
      <c r="AZ24" s="270">
        <f>T24*AT24*AU24*0.25</f>
        <v/>
      </c>
      <c r="BA24" s="270">
        <f>T24*AT24*AU24</f>
        <v/>
      </c>
      <c r="BB24" s="270">
        <f>R24*K24*0.4</f>
        <v/>
      </c>
      <c r="BC24" s="270">
        <f>R24*K24</f>
        <v/>
      </c>
      <c r="BD24" s="270">
        <f>S24*K24*0.4</f>
        <v/>
      </c>
      <c r="BE24" s="270">
        <f>S24*K24</f>
        <v/>
      </c>
      <c r="BF24" s="270">
        <f>T24*K24*0.4</f>
        <v/>
      </c>
      <c r="BG24" s="308">
        <f>T24*K24</f>
        <v/>
      </c>
      <c r="BH24" s="308">
        <f>R24*K24*0.2</f>
        <v/>
      </c>
      <c r="BI24" s="308">
        <f>R24*K24</f>
        <v/>
      </c>
      <c r="BJ24" s="308">
        <f>S24*K24*0.2</f>
        <v/>
      </c>
      <c r="BK24" s="308">
        <f>S24*K24</f>
        <v/>
      </c>
      <c r="BL24" s="308">
        <f>T24*K24*0.2</f>
        <v/>
      </c>
      <c r="BM24" s="311">
        <f>T24*K24</f>
        <v/>
      </c>
      <c r="BN24" s="311">
        <f>R24*K24*0.2</f>
        <v/>
      </c>
      <c r="BO24" s="311">
        <f>K24*R24</f>
        <v/>
      </c>
      <c r="BP24" s="311">
        <f>S24*K24*0.2</f>
        <v/>
      </c>
      <c r="BQ24" s="311">
        <f>K24*S24</f>
        <v/>
      </c>
      <c r="BR24" s="311">
        <f>K24*T24*0.2</f>
        <v/>
      </c>
      <c r="BS24" s="270">
        <f>K24*T24</f>
        <v/>
      </c>
      <c r="BT24" s="270">
        <f>R24*K24*0.2</f>
        <v/>
      </c>
      <c r="BU24" s="270">
        <f>R24*K24</f>
        <v/>
      </c>
      <c r="BV24" s="270">
        <f>S24*K24*0.2</f>
        <v/>
      </c>
      <c r="BW24" s="270">
        <f>S24*K24</f>
        <v/>
      </c>
      <c r="BX24" s="270">
        <f>T24*K24*0.2</f>
        <v/>
      </c>
      <c r="BY24" s="270">
        <f>T24*K24</f>
        <v/>
      </c>
      <c r="BZ24" s="270">
        <f>R24*K24*0.34</f>
        <v/>
      </c>
      <c r="CA24" s="270">
        <f>R24*K24</f>
        <v/>
      </c>
      <c r="CB24" s="270">
        <f>S24*K24*0.34</f>
        <v/>
      </c>
      <c r="CC24" s="270">
        <f>S24*K24</f>
        <v/>
      </c>
      <c r="CD24" s="270">
        <f>T24*K24*0.34</f>
        <v/>
      </c>
      <c r="CE24" s="270">
        <f>T24*K24</f>
        <v/>
      </c>
    </row>
    <row r="25" ht="165" customFormat="1" customHeight="1" s="270">
      <c r="A25" s="270" t="n">
        <v>22</v>
      </c>
      <c r="B25" s="269" t="inlineStr">
        <is>
          <t>Kimyasal İlaç Kullanımı</t>
        </is>
      </c>
      <c r="C25" s="269" t="inlineStr">
        <is>
          <t>Çevresel Etki: Toprak ve su kirliliğinin birincil kaynağıdır. Birim alandaki kullanım miktarı denetimin en sıkı parametresidir.</t>
        </is>
      </c>
      <c r="D25" s="270">
        <f>ESG_FO_Makale!$G$17</f>
        <v/>
      </c>
      <c r="E25" s="270" t="n">
        <v>0.04000000000000001</v>
      </c>
      <c r="F25" s="270">
        <f>D25*E25</f>
        <v/>
      </c>
      <c r="G25" s="270">
        <f>ESG_FO_AnaBlok!$G$17</f>
        <v/>
      </c>
      <c r="H25" s="270">
        <f>E_AltGruplar!$G$19</f>
        <v/>
      </c>
      <c r="I25" s="270">
        <f>E_AtikKimya!J21</f>
        <v/>
      </c>
      <c r="J25" s="270">
        <f>G25*H25*I25</f>
        <v/>
      </c>
      <c r="K25" s="270">
        <f>H25*I25</f>
        <v/>
      </c>
      <c r="L25" s="270" t="inlineStr">
        <is>
          <t>70 Milyon TL maliyet (72,46 TL/delar) ile göreli olarak yüksek kimyasal yüke sahiptir; ancak yüksek ölçekli büyüklükte bir alanda tarım uygulamaları modernize cihazlarla(Uydu destekli uygulama ekipmanı ve teknik personel gözetimi dozaj ve uygulama kontrolü) yapılmaktadır.</t>
        </is>
      </c>
      <c r="M25" s="270" t="n">
        <v>3</v>
      </c>
      <c r="N25" s="270" t="inlineStr">
        <is>
          <t xml:space="preserve">Bitkisel üretim ilaçlama maliyeti yaklaşık 5,44 milyon TL(111,02 TL/dekar) olarak verilmiştir. İyi Tarım Uygulamaları sistemine ilişkin uygulamalar diğer işletmelere göre daha yerleşiktir. Ancak iklim koşulları nedeniyle hastalıkla mücadele gereği yüksektir. </t>
        </is>
      </c>
      <c r="O25" s="271" t="n">
        <v>2</v>
      </c>
      <c r="P25" s="270" t="inlineStr">
        <is>
          <t xml:space="preserve">Bitkisel üretim ilaçlama maliyeti yaklaşık 8,69 milyon TL (57,55TL/dekar) olarak verilmiştir. Münavebe, teknik ekipman ve uygulayıcı sertifikaları kimyasal uygulama riskini azaltabilecek kontrol unsurlarıdır. </t>
        </is>
      </c>
      <c r="Q25" s="270" t="n">
        <v>4</v>
      </c>
      <c r="R25" s="270">
        <f>100*(M25-1)/4</f>
        <v/>
      </c>
      <c r="S25" s="270">
        <f>100*(O25-1)/4</f>
        <v/>
      </c>
      <c r="T25" s="270">
        <f>100*(Q25-1)/4</f>
        <v/>
      </c>
      <c r="U25" s="270">
        <f>R25*J25</f>
        <v/>
      </c>
      <c r="V25" s="270">
        <f>R25*K25</f>
        <v/>
      </c>
      <c r="W25" s="270">
        <f>S25*$J25</f>
        <v/>
      </c>
      <c r="X25" s="270">
        <f>S25*K25</f>
        <v/>
      </c>
      <c r="Y25" s="270">
        <f>T25*$J25</f>
        <v/>
      </c>
      <c r="Z25" s="270">
        <f>T25*K25</f>
        <v/>
      </c>
      <c r="AA25" s="270">
        <f>R25*F25</f>
        <v/>
      </c>
      <c r="AB25" s="270">
        <f>R25*E25</f>
        <v/>
      </c>
      <c r="AC25" s="270">
        <f>S25*F25</f>
        <v/>
      </c>
      <c r="AD25" s="270">
        <f>S25*E25</f>
        <v/>
      </c>
      <c r="AE25" s="270">
        <f>T25*F25</f>
        <v/>
      </c>
      <c r="AF25" s="270">
        <f>T25*E25</f>
        <v/>
      </c>
      <c r="AG25" s="283">
        <f>R25*0.25*K25</f>
        <v/>
      </c>
      <c r="AH25" s="283">
        <f>K25*R25</f>
        <v/>
      </c>
      <c r="AI25" s="283">
        <f>S25*0.25*$K25</f>
        <v/>
      </c>
      <c r="AJ25" s="283">
        <f>S25*K25</f>
        <v/>
      </c>
      <c r="AK25" s="283">
        <f>T25*0.25*$K25</f>
        <v/>
      </c>
      <c r="AL25" s="283">
        <f>K25*T25</f>
        <v/>
      </c>
      <c r="AM25" s="283" t="n">
        <v>0.25</v>
      </c>
      <c r="AN25" s="270">
        <f>R25*I25*AM25*0.25</f>
        <v/>
      </c>
      <c r="AO25" s="270">
        <f>R25*I25*AM25</f>
        <v/>
      </c>
      <c r="AP25" s="270">
        <f>S25*I25*AM25*0.25</f>
        <v/>
      </c>
      <c r="AQ25" s="270">
        <f>S25*I25*AM25</f>
        <v/>
      </c>
      <c r="AR25" s="270">
        <f>T25*I25*AM25*0.25</f>
        <v/>
      </c>
      <c r="AS25" s="270">
        <f>T25*I25*AM25</f>
        <v/>
      </c>
      <c r="AT25" s="270">
        <f>1/7</f>
        <v/>
      </c>
      <c r="AU25" s="283" t="n">
        <v>0.25</v>
      </c>
      <c r="AV25" s="270">
        <f>R25*AT25*AU25*0.25</f>
        <v/>
      </c>
      <c r="AW25" s="270">
        <f>R25*AT25*AU25</f>
        <v/>
      </c>
      <c r="AX25" s="270">
        <f>S25*AT25*AU25*0.25</f>
        <v/>
      </c>
      <c r="AY25" s="270">
        <f>S25*AT25*AU25</f>
        <v/>
      </c>
      <c r="AZ25" s="270">
        <f>T25*AT25*AU25*0.25</f>
        <v/>
      </c>
      <c r="BA25" s="270">
        <f>T25*AT25*AU25</f>
        <v/>
      </c>
      <c r="BB25" s="270">
        <f>R25*K25*0.4</f>
        <v/>
      </c>
      <c r="BC25" s="270">
        <f>R25*K25</f>
        <v/>
      </c>
      <c r="BD25" s="270">
        <f>S25*K25*0.4</f>
        <v/>
      </c>
      <c r="BE25" s="270">
        <f>S25*K25</f>
        <v/>
      </c>
      <c r="BF25" s="270">
        <f>T25*K25*0.4</f>
        <v/>
      </c>
      <c r="BG25" s="308">
        <f>T25*K25</f>
        <v/>
      </c>
      <c r="BH25" s="308">
        <f>R25*K25*0.2</f>
        <v/>
      </c>
      <c r="BI25" s="308">
        <f>R25*K25</f>
        <v/>
      </c>
      <c r="BJ25" s="308">
        <f>S25*K25*0.2</f>
        <v/>
      </c>
      <c r="BK25" s="308">
        <f>S25*K25</f>
        <v/>
      </c>
      <c r="BL25" s="308">
        <f>T25*K25*0.2</f>
        <v/>
      </c>
      <c r="BM25" s="311">
        <f>T25*K25</f>
        <v/>
      </c>
      <c r="BN25" s="311">
        <f>R25*K25*0.2</f>
        <v/>
      </c>
      <c r="BO25" s="311">
        <f>K25*R25</f>
        <v/>
      </c>
      <c r="BP25" s="311">
        <f>S25*K25*0.2</f>
        <v/>
      </c>
      <c r="BQ25" s="311">
        <f>K25*S25</f>
        <v/>
      </c>
      <c r="BR25" s="311">
        <f>K25*T25*0.2</f>
        <v/>
      </c>
      <c r="BS25" s="270">
        <f>K25*T25</f>
        <v/>
      </c>
      <c r="BT25" s="270">
        <f>R25*K25*0.2</f>
        <v/>
      </c>
      <c r="BU25" s="270">
        <f>R25*K25</f>
        <v/>
      </c>
      <c r="BV25" s="270">
        <f>S25*K25*0.2</f>
        <v/>
      </c>
      <c r="BW25" s="270">
        <f>S25*K25</f>
        <v/>
      </c>
      <c r="BX25" s="270">
        <f>T25*K25*0.2</f>
        <v/>
      </c>
      <c r="BY25" s="270">
        <f>T25*K25</f>
        <v/>
      </c>
      <c r="BZ25" s="270">
        <f>R25*K25*0.34</f>
        <v/>
      </c>
      <c r="CA25" s="270">
        <f>R25*K25</f>
        <v/>
      </c>
      <c r="CB25" s="270">
        <f>S25*K25*0.34</f>
        <v/>
      </c>
      <c r="CC25" s="270">
        <f>S25*K25</f>
        <v/>
      </c>
      <c r="CD25" s="270">
        <f>T25*K25*0.34</f>
        <v/>
      </c>
      <c r="CE25" s="270">
        <f>T25*K25</f>
        <v/>
      </c>
    </row>
    <row r="26" ht="105" customFormat="1" customHeight="1" s="270">
      <c r="A26" s="270" t="n">
        <v>23</v>
      </c>
      <c r="B26" s="269" t="inlineStr">
        <is>
          <t>Biyolojik mücadele</t>
        </is>
      </c>
      <c r="C26" s="269" t="inlineStr">
        <is>
          <t>İnovasyon: Kimyasala alternatif yöntemlerin (yararlı böcek vb.) varlığı, sürdürülebilirlik olgunluk seviyesini gösterir.</t>
        </is>
      </c>
      <c r="D26" s="270">
        <f>ESG_FO_Makale!$G$17</f>
        <v/>
      </c>
      <c r="E26" s="270" t="n">
        <v>0.03</v>
      </c>
      <c r="F26" s="270">
        <f>D26*E26</f>
        <v/>
      </c>
      <c r="G26" s="270">
        <f>ESG_FO_AnaBlok!$G$17</f>
        <v/>
      </c>
      <c r="H26" s="270">
        <f>E_AltGruplar!$G$19</f>
        <v/>
      </c>
      <c r="I26" s="270">
        <f>E_AtikKimya!J22</f>
        <v/>
      </c>
      <c r="J26" s="270">
        <f>G26*H26*I26</f>
        <v/>
      </c>
      <c r="K26" s="270">
        <f>H26*I26</f>
        <v/>
      </c>
      <c r="L26" s="270" t="inlineStr">
        <is>
          <t>Münavebe ve ağaçlandırma(süne mücadelesi için badem ağaçları) gibi alternatif mücadele yöntemleri aktif uygulanmaktadır. İTU sertifikası bulunmaktadır.</t>
        </is>
      </c>
      <c r="M26" s="270" t="n">
        <v>3</v>
      </c>
      <c r="N26" s="270" t="inlineStr">
        <is>
          <t>Münavebe ve ağaçlandırma(süne mücadelesi için badem ağaçları) gibi alternatif mücadele yöntemleri aktif uygulanmaktadır. İTU sertifikası bulunmaktadır.</t>
        </is>
      </c>
      <c r="O26" s="271" t="n">
        <v>3</v>
      </c>
      <c r="P26" s="270" t="inlineStr">
        <is>
          <t>Münavebe ve ağaçlandırma(süne mücadelesi için badem ağaçları) gibi alternatif mücadele yöntemleri aktif uygulanmaktadır. İTU sertifikası bulunmaktadır.</t>
        </is>
      </c>
      <c r="Q26" s="270" t="n">
        <v>3</v>
      </c>
      <c r="R26" s="270">
        <f>100*(M26-1)/4</f>
        <v/>
      </c>
      <c r="S26" s="270">
        <f>100*(O26-1)/4</f>
        <v/>
      </c>
      <c r="T26" s="270">
        <f>100*(Q26-1)/4</f>
        <v/>
      </c>
      <c r="U26" s="270">
        <f>R26*J26</f>
        <v/>
      </c>
      <c r="V26" s="270">
        <f>R26*K26</f>
        <v/>
      </c>
      <c r="W26" s="270">
        <f>S26*$J26</f>
        <v/>
      </c>
      <c r="X26" s="270">
        <f>S26*K26</f>
        <v/>
      </c>
      <c r="Y26" s="270">
        <f>T26*$J26</f>
        <v/>
      </c>
      <c r="Z26" s="270">
        <f>T26*K26</f>
        <v/>
      </c>
      <c r="AA26" s="270">
        <f>R26*F26</f>
        <v/>
      </c>
      <c r="AB26" s="270">
        <f>R26*E26</f>
        <v/>
      </c>
      <c r="AC26" s="270">
        <f>S26*F26</f>
        <v/>
      </c>
      <c r="AD26" s="270">
        <f>S26*E26</f>
        <v/>
      </c>
      <c r="AE26" s="270">
        <f>T26*F26</f>
        <v/>
      </c>
      <c r="AF26" s="270">
        <f>T26*E26</f>
        <v/>
      </c>
      <c r="AG26" s="283">
        <f>R26*0.25*K26</f>
        <v/>
      </c>
      <c r="AH26" s="283">
        <f>K26*R26</f>
        <v/>
      </c>
      <c r="AI26" s="283">
        <f>S26*0.25*$K26</f>
        <v/>
      </c>
      <c r="AJ26" s="283">
        <f>S26*K26</f>
        <v/>
      </c>
      <c r="AK26" s="283">
        <f>T26*0.25*$K26</f>
        <v/>
      </c>
      <c r="AL26" s="283">
        <f>K26*T26</f>
        <v/>
      </c>
      <c r="AM26" s="283" t="n">
        <v>0.25</v>
      </c>
      <c r="AN26" s="270">
        <f>R26*I26*AM26*0.25</f>
        <v/>
      </c>
      <c r="AO26" s="270">
        <f>R26*I26*AM26</f>
        <v/>
      </c>
      <c r="AP26" s="270">
        <f>S26*I26*AM26*0.25</f>
        <v/>
      </c>
      <c r="AQ26" s="270">
        <f>S26*I26*AM26</f>
        <v/>
      </c>
      <c r="AR26" s="270">
        <f>T26*I26*AM26*0.25</f>
        <v/>
      </c>
      <c r="AS26" s="270">
        <f>T26*I26*AM26</f>
        <v/>
      </c>
      <c r="AT26" s="270">
        <f>1/7</f>
        <v/>
      </c>
      <c r="AU26" s="283" t="n">
        <v>0.25</v>
      </c>
      <c r="AV26" s="270">
        <f>R26*AT26*AU26*0.25</f>
        <v/>
      </c>
      <c r="AW26" s="270">
        <f>R26*AT26*AU26</f>
        <v/>
      </c>
      <c r="AX26" s="270">
        <f>S26*AT26*AU26*0.25</f>
        <v/>
      </c>
      <c r="AY26" s="270">
        <f>S26*AT26*AU26</f>
        <v/>
      </c>
      <c r="AZ26" s="270">
        <f>T26*AT26*AU26*0.25</f>
        <v/>
      </c>
      <c r="BA26" s="270">
        <f>T26*AT26*AU26</f>
        <v/>
      </c>
      <c r="BB26" s="270">
        <f>R26*K26*0.4</f>
        <v/>
      </c>
      <c r="BC26" s="270">
        <f>R26*K26</f>
        <v/>
      </c>
      <c r="BD26" s="270">
        <f>S26*K26*0.4</f>
        <v/>
      </c>
      <c r="BE26" s="270">
        <f>S26*K26</f>
        <v/>
      </c>
      <c r="BF26" s="270">
        <f>T26*K26*0.4</f>
        <v/>
      </c>
      <c r="BG26" s="308">
        <f>T26*K26</f>
        <v/>
      </c>
      <c r="BH26" s="308">
        <f>R26*K26*0.2</f>
        <v/>
      </c>
      <c r="BI26" s="308">
        <f>R26*K26</f>
        <v/>
      </c>
      <c r="BJ26" s="308">
        <f>S26*K26*0.2</f>
        <v/>
      </c>
      <c r="BK26" s="308">
        <f>S26*K26</f>
        <v/>
      </c>
      <c r="BL26" s="308">
        <f>T26*K26*0.2</f>
        <v/>
      </c>
      <c r="BM26" s="311">
        <f>T26*K26</f>
        <v/>
      </c>
      <c r="BN26" s="311">
        <f>R26*K26*0.2</f>
        <v/>
      </c>
      <c r="BO26" s="311">
        <f>K26*R26</f>
        <v/>
      </c>
      <c r="BP26" s="311">
        <f>S26*K26*0.2</f>
        <v/>
      </c>
      <c r="BQ26" s="311">
        <f>K26*S26</f>
        <v/>
      </c>
      <c r="BR26" s="311">
        <f>K26*T26*0.2</f>
        <v/>
      </c>
      <c r="BS26" s="270">
        <f>K26*T26</f>
        <v/>
      </c>
      <c r="BT26" s="270">
        <f>R26*K26*0.2</f>
        <v/>
      </c>
      <c r="BU26" s="270">
        <f>R26*K26</f>
        <v/>
      </c>
      <c r="BV26" s="270">
        <f>S26*K26*0.2</f>
        <v/>
      </c>
      <c r="BW26" s="270">
        <f>S26*K26</f>
        <v/>
      </c>
      <c r="BX26" s="270">
        <f>T26*K26*0.2</f>
        <v/>
      </c>
      <c r="BY26" s="270">
        <f>T26*K26</f>
        <v/>
      </c>
      <c r="BZ26" s="270">
        <f>R26*K26*0.34</f>
        <v/>
      </c>
      <c r="CA26" s="270">
        <f>R26*K26</f>
        <v/>
      </c>
      <c r="CB26" s="270">
        <f>S26*K26*0.34</f>
        <v/>
      </c>
      <c r="CC26" s="270">
        <f>S26*K26</f>
        <v/>
      </c>
      <c r="CD26" s="270">
        <f>T26*K26*0.34</f>
        <v/>
      </c>
      <c r="CE26" s="270">
        <f>T26*K26</f>
        <v/>
      </c>
    </row>
    <row r="27" ht="75" customFormat="1" customHeight="1" s="270">
      <c r="A27" s="270" t="n">
        <v>24</v>
      </c>
      <c r="B27" s="269" t="inlineStr">
        <is>
          <t>Tehlikeli Atık Bertarafı</t>
        </is>
      </c>
      <c r="C27" s="269" t="inlineStr">
        <is>
          <t>Yasal Uyum: Tıbbi atıklar, atık yağlar ve akülerin mevzuata (Sıfır Atık) uygun yönetilmesidir.</t>
        </is>
      </c>
      <c r="D27" s="270">
        <f>ESG_FO_Makale!$G$17</f>
        <v/>
      </c>
      <c r="E27" s="270" t="n">
        <v>0.02</v>
      </c>
      <c r="F27" s="270">
        <f>D27*E27</f>
        <v/>
      </c>
      <c r="G27" s="270">
        <f>ESG_FO_AnaBlok!$G$17</f>
        <v/>
      </c>
      <c r="H27" s="270">
        <f>E_AltGruplar!$G$19</f>
        <v/>
      </c>
      <c r="I27" s="270">
        <f>E_AtikKimya!J23</f>
        <v/>
      </c>
      <c r="J27" s="270">
        <f>G27*H27*I27</f>
        <v/>
      </c>
      <c r="K27" s="270">
        <f>H27*I27</f>
        <v/>
      </c>
      <c r="L27" s="270" t="inlineStr">
        <is>
          <t>Depolama alanları inşa edilmiş olsa da "tam uyum sağlanamaması" ve "kayıt eksiklikleri" nedeniyle orta seviyededir</t>
        </is>
      </c>
      <c r="M27" s="270" t="n">
        <v>3</v>
      </c>
      <c r="N27" s="270" t="inlineStr">
        <is>
          <t>Depolama alanları inşa edilmiş olsa da "tam uyum sağlanamaması" ve "kayıt eksiklikleri" nedeniyle orta seviyededir</t>
        </is>
      </c>
      <c r="O27" s="271" t="n">
        <v>3</v>
      </c>
      <c r="P27" s="270" t="inlineStr">
        <is>
          <t>Depolama alanları inşa edilmiş olsa da "tam uyum sağlanamaması" ve "kayıt eksiklikleri" nedeniyle orta seviyededir</t>
        </is>
      </c>
      <c r="Q27" s="270" t="n">
        <v>3</v>
      </c>
      <c r="R27" s="270">
        <f>100*(M27-1)/4</f>
        <v/>
      </c>
      <c r="S27" s="270">
        <f>100*(O27-1)/4</f>
        <v/>
      </c>
      <c r="T27" s="270">
        <f>100*(Q27-1)/4</f>
        <v/>
      </c>
      <c r="U27" s="270">
        <f>R27*J27</f>
        <v/>
      </c>
      <c r="V27" s="270">
        <f>R27*K27</f>
        <v/>
      </c>
      <c r="W27" s="270">
        <f>S27*$J27</f>
        <v/>
      </c>
      <c r="X27" s="270">
        <f>S27*K27</f>
        <v/>
      </c>
      <c r="Y27" s="270">
        <f>T27*$J27</f>
        <v/>
      </c>
      <c r="Z27" s="270">
        <f>T27*K27</f>
        <v/>
      </c>
      <c r="AA27" s="270">
        <f>R27*F27</f>
        <v/>
      </c>
      <c r="AB27" s="270">
        <f>R27*E27</f>
        <v/>
      </c>
      <c r="AC27" s="270">
        <f>S27*F27</f>
        <v/>
      </c>
      <c r="AD27" s="270">
        <f>S27*E27</f>
        <v/>
      </c>
      <c r="AE27" s="270">
        <f>T27*F27</f>
        <v/>
      </c>
      <c r="AF27" s="270">
        <f>T27*E27</f>
        <v/>
      </c>
      <c r="AG27" s="283">
        <f>R27*0.25*K27</f>
        <v/>
      </c>
      <c r="AH27" s="283">
        <f>K27*R27</f>
        <v/>
      </c>
      <c r="AI27" s="283">
        <f>S27*0.25*$K27</f>
        <v/>
      </c>
      <c r="AJ27" s="283">
        <f>S27*K27</f>
        <v/>
      </c>
      <c r="AK27" s="283">
        <f>T27*0.25*$K27</f>
        <v/>
      </c>
      <c r="AL27" s="283">
        <f>K27*T27</f>
        <v/>
      </c>
      <c r="AM27" s="283" t="n">
        <v>0.25</v>
      </c>
      <c r="AN27" s="270">
        <f>R27*I27*AM27*0.25</f>
        <v/>
      </c>
      <c r="AO27" s="270">
        <f>R27*I27*AM27</f>
        <v/>
      </c>
      <c r="AP27" s="270">
        <f>S27*I27*AM27*0.25</f>
        <v/>
      </c>
      <c r="AQ27" s="270">
        <f>S27*I27*AM27</f>
        <v/>
      </c>
      <c r="AR27" s="270">
        <f>T27*I27*AM27*0.25</f>
        <v/>
      </c>
      <c r="AS27" s="270">
        <f>T27*I27*AM27</f>
        <v/>
      </c>
      <c r="AT27" s="270">
        <f>1/7</f>
        <v/>
      </c>
      <c r="AU27" s="283" t="n">
        <v>0.25</v>
      </c>
      <c r="AV27" s="270">
        <f>R27*AT27*AU27*0.25</f>
        <v/>
      </c>
      <c r="AW27" s="270">
        <f>R27*AT27*AU27</f>
        <v/>
      </c>
      <c r="AX27" s="270">
        <f>S27*AT27*AU27*0.25</f>
        <v/>
      </c>
      <c r="AY27" s="270">
        <f>S27*AT27*AU27</f>
        <v/>
      </c>
      <c r="AZ27" s="270">
        <f>T27*AT27*AU27*0.25</f>
        <v/>
      </c>
      <c r="BA27" s="270">
        <f>T27*AT27*AU27</f>
        <v/>
      </c>
      <c r="BB27" s="270">
        <f>R27*K27*0.4</f>
        <v/>
      </c>
      <c r="BC27" s="270">
        <f>R27*K27</f>
        <v/>
      </c>
      <c r="BD27" s="270">
        <f>S27*K27*0.4</f>
        <v/>
      </c>
      <c r="BE27" s="270">
        <f>S27*K27</f>
        <v/>
      </c>
      <c r="BF27" s="270">
        <f>T27*K27*0.4</f>
        <v/>
      </c>
      <c r="BG27" s="308">
        <f>T27*K27</f>
        <v/>
      </c>
      <c r="BH27" s="308">
        <f>R27*K27*0.2</f>
        <v/>
      </c>
      <c r="BI27" s="308">
        <f>R27*K27</f>
        <v/>
      </c>
      <c r="BJ27" s="308">
        <f>S27*K27*0.2</f>
        <v/>
      </c>
      <c r="BK27" s="308">
        <f>S27*K27</f>
        <v/>
      </c>
      <c r="BL27" s="308">
        <f>T27*K27*0.2</f>
        <v/>
      </c>
      <c r="BM27" s="311">
        <f>T27*K27</f>
        <v/>
      </c>
      <c r="BN27" s="311">
        <f>R27*K27*0.2</f>
        <v/>
      </c>
      <c r="BO27" s="311">
        <f>K27*R27</f>
        <v/>
      </c>
      <c r="BP27" s="311">
        <f>S27*K27*0.2</f>
        <v/>
      </c>
      <c r="BQ27" s="311">
        <f>K27*S27</f>
        <v/>
      </c>
      <c r="BR27" s="311">
        <f>K27*T27*0.2</f>
        <v/>
      </c>
      <c r="BS27" s="270">
        <f>K27*T27</f>
        <v/>
      </c>
      <c r="BT27" s="270">
        <f>R27*K27*0.2</f>
        <v/>
      </c>
      <c r="BU27" s="270">
        <f>R27*K27</f>
        <v/>
      </c>
      <c r="BV27" s="270">
        <f>S27*K27*0.2</f>
        <v/>
      </c>
      <c r="BW27" s="270">
        <f>S27*K27</f>
        <v/>
      </c>
      <c r="BX27" s="270">
        <f>T27*K27*0.2</f>
        <v/>
      </c>
      <c r="BY27" s="270">
        <f>T27*K27</f>
        <v/>
      </c>
      <c r="BZ27" s="270">
        <f>R27*K27*0.34</f>
        <v/>
      </c>
      <c r="CA27" s="270">
        <f>R27*K27</f>
        <v/>
      </c>
      <c r="CB27" s="270">
        <f>S27*K27*0.34</f>
        <v/>
      </c>
      <c r="CC27" s="270">
        <f>S27*K27</f>
        <v/>
      </c>
      <c r="CD27" s="270">
        <f>T27*K27*0.34</f>
        <v/>
      </c>
      <c r="CE27" s="270">
        <f>T27*K27</f>
        <v/>
      </c>
    </row>
    <row r="28" ht="90" customFormat="1" customHeight="1" s="270">
      <c r="A28" s="270" t="n">
        <v>25</v>
      </c>
      <c r="B28" s="269" t="inlineStr">
        <is>
          <t>Kimyasal Muhafaza Depoları</t>
        </is>
      </c>
      <c r="C28" s="269" t="inlineStr">
        <is>
          <t>Güvenliği &amp; Sızıntı: İlaç ve gübrelerin sızdırmazlık ve güvenlik standartlarına göre depolanmasıdır.</t>
        </is>
      </c>
      <c r="D28" s="270">
        <f>ESG_FO_Makale!$G$17</f>
        <v/>
      </c>
      <c r="E28" s="270" t="n">
        <v>0.02</v>
      </c>
      <c r="F28" s="270">
        <f>D28*E28</f>
        <v/>
      </c>
      <c r="G28" s="270">
        <f>ESG_FO_AnaBlok!$G$17</f>
        <v/>
      </c>
      <c r="H28" s="270">
        <f>E_AltGruplar!$G$19</f>
        <v/>
      </c>
      <c r="I28" s="270">
        <f>E_AtikKimya!J24</f>
        <v/>
      </c>
      <c r="J28" s="270">
        <f>G28*H28*I28</f>
        <v/>
      </c>
      <c r="K28" s="270">
        <f>H28*I28</f>
        <v/>
      </c>
      <c r="L28" s="270" t="inlineStr">
        <is>
          <t>ITU kapsamında yenilenmiş,mevzuata uygun, ayrı ve fiziksel şartları tanımlanmış depo varlığı risk yönetimini güçlendirmektedir.</t>
        </is>
      </c>
      <c r="M28" s="270" t="n">
        <v>4</v>
      </c>
      <c r="N28" s="270" t="inlineStr">
        <is>
          <t>ITU kapsamında yenilenmiş,mevzuata uygun, ayrı ve fiziksel şartları tanımlanmış depo varlığı risk yönetimini güçlendirmektedir.</t>
        </is>
      </c>
      <c r="O28" s="271" t="n">
        <v>4</v>
      </c>
      <c r="P28" s="270" t="inlineStr">
        <is>
          <t>ITU kapsamında yenilenmiş,mevzuata uygun, ayrı ve fiziksel şartları tanımlanmış depo varlığı risk yönetimini güçlendirmektedir.</t>
        </is>
      </c>
      <c r="Q28" s="270" t="n">
        <v>4</v>
      </c>
      <c r="R28" s="270">
        <f>100*(M28-1)/4</f>
        <v/>
      </c>
      <c r="S28" s="270">
        <f>100*(O28-1)/4</f>
        <v/>
      </c>
      <c r="T28" s="270">
        <f>100*(Q28-1)/4</f>
        <v/>
      </c>
      <c r="U28" s="270">
        <f>R28*J28</f>
        <v/>
      </c>
      <c r="V28" s="270">
        <f>R28*K28</f>
        <v/>
      </c>
      <c r="W28" s="270">
        <f>S28*$J28</f>
        <v/>
      </c>
      <c r="X28" s="270">
        <f>S28*K28</f>
        <v/>
      </c>
      <c r="Y28" s="270">
        <f>T28*$J28</f>
        <v/>
      </c>
      <c r="Z28" s="270">
        <f>T28*K28</f>
        <v/>
      </c>
      <c r="AA28" s="270">
        <f>R28*F28</f>
        <v/>
      </c>
      <c r="AB28" s="270">
        <f>R28*E28</f>
        <v/>
      </c>
      <c r="AC28" s="270">
        <f>S28*F28</f>
        <v/>
      </c>
      <c r="AD28" s="270">
        <f>S28*E28</f>
        <v/>
      </c>
      <c r="AE28" s="270">
        <f>T28*F28</f>
        <v/>
      </c>
      <c r="AF28" s="270">
        <f>T28*E28</f>
        <v/>
      </c>
      <c r="AG28" s="283">
        <f>R28*0.25*K28</f>
        <v/>
      </c>
      <c r="AH28" s="283">
        <f>K28*R28</f>
        <v/>
      </c>
      <c r="AI28" s="283">
        <f>S28*0.25*$K28</f>
        <v/>
      </c>
      <c r="AJ28" s="283">
        <f>S28*K28</f>
        <v/>
      </c>
      <c r="AK28" s="283">
        <f>T28*0.25*$K28</f>
        <v/>
      </c>
      <c r="AL28" s="283">
        <f>K28*T28</f>
        <v/>
      </c>
      <c r="AM28" s="283" t="n">
        <v>0.25</v>
      </c>
      <c r="AN28" s="270">
        <f>R28*I28*AM28*0.25</f>
        <v/>
      </c>
      <c r="AO28" s="270">
        <f>R28*I28*AM28</f>
        <v/>
      </c>
      <c r="AP28" s="270">
        <f>S28*I28*AM28*0.25</f>
        <v/>
      </c>
      <c r="AQ28" s="270">
        <f>S28*I28*AM28</f>
        <v/>
      </c>
      <c r="AR28" s="270">
        <f>T28*I28*AM28*0.25</f>
        <v/>
      </c>
      <c r="AS28" s="270">
        <f>T28*I28*AM28</f>
        <v/>
      </c>
      <c r="AT28" s="270">
        <f>1/7</f>
        <v/>
      </c>
      <c r="AU28" s="283" t="n">
        <v>0.25</v>
      </c>
      <c r="AV28" s="270">
        <f>R28*AT28*AU28*0.25</f>
        <v/>
      </c>
      <c r="AW28" s="270">
        <f>R28*AT28*AU28</f>
        <v/>
      </c>
      <c r="AX28" s="270">
        <f>S28*AT28*AU28*0.25</f>
        <v/>
      </c>
      <c r="AY28" s="270">
        <f>S28*AT28*AU28</f>
        <v/>
      </c>
      <c r="AZ28" s="270">
        <f>T28*AT28*AU28*0.25</f>
        <v/>
      </c>
      <c r="BA28" s="270">
        <f>T28*AT28*AU28</f>
        <v/>
      </c>
      <c r="BB28" s="270">
        <f>R28*K28*0.4</f>
        <v/>
      </c>
      <c r="BC28" s="270">
        <f>R28*K28</f>
        <v/>
      </c>
      <c r="BD28" s="270">
        <f>S28*K28*0.4</f>
        <v/>
      </c>
      <c r="BE28" s="270">
        <f>S28*K28</f>
        <v/>
      </c>
      <c r="BF28" s="270">
        <f>T28*K28*0.4</f>
        <v/>
      </c>
      <c r="BG28" s="308">
        <f>T28*K28</f>
        <v/>
      </c>
      <c r="BH28" s="308">
        <f>R28*K28*0.2</f>
        <v/>
      </c>
      <c r="BI28" s="308">
        <f>R28*K28</f>
        <v/>
      </c>
      <c r="BJ28" s="308">
        <f>S28*K28*0.2</f>
        <v/>
      </c>
      <c r="BK28" s="308">
        <f>S28*K28</f>
        <v/>
      </c>
      <c r="BL28" s="308">
        <f>T28*K28*0.2</f>
        <v/>
      </c>
      <c r="BM28" s="311">
        <f>T28*K28</f>
        <v/>
      </c>
      <c r="BN28" s="311">
        <f>R28*K28*0.2</f>
        <v/>
      </c>
      <c r="BO28" s="311">
        <f>K28*R28</f>
        <v/>
      </c>
      <c r="BP28" s="311">
        <f>S28*K28*0.2</f>
        <v/>
      </c>
      <c r="BQ28" s="311">
        <f>K28*S28</f>
        <v/>
      </c>
      <c r="BR28" s="311">
        <f>K28*T28*0.2</f>
        <v/>
      </c>
      <c r="BS28" s="270">
        <f>K28*T28</f>
        <v/>
      </c>
      <c r="BT28" s="270">
        <f>R28*K28*0.2</f>
        <v/>
      </c>
      <c r="BU28" s="270">
        <f>R28*K28</f>
        <v/>
      </c>
      <c r="BV28" s="270">
        <f>S28*K28*0.2</f>
        <v/>
      </c>
      <c r="BW28" s="270">
        <f>S28*K28</f>
        <v/>
      </c>
      <c r="BX28" s="270">
        <f>T28*K28*0.2</f>
        <v/>
      </c>
      <c r="BY28" s="270">
        <f>T28*K28</f>
        <v/>
      </c>
      <c r="BZ28" s="270">
        <f>R28*K28*0.34</f>
        <v/>
      </c>
      <c r="CA28" s="270">
        <f>R28*K28</f>
        <v/>
      </c>
      <c r="CB28" s="270">
        <f>S28*K28*0.34</f>
        <v/>
      </c>
      <c r="CC28" s="270">
        <f>S28*K28</f>
        <v/>
      </c>
      <c r="CD28" s="270">
        <f>T28*K28*0.34</f>
        <v/>
      </c>
      <c r="CE28" s="270">
        <f>T28*K28</f>
        <v/>
      </c>
    </row>
    <row r="29" ht="75" customFormat="1" customHeight="1" s="270">
      <c r="A29" s="270" t="n">
        <v>26</v>
      </c>
      <c r="B29" s="269" t="inlineStr">
        <is>
          <t>Ambalaj</t>
        </is>
      </c>
      <c r="C29" s="269" t="inlineStr">
        <is>
          <t>Sıfır Atık: Boş ilaç kutuları ve tohum çuvallarının geri dönüşüm sürecine dahil edilmesidir.</t>
        </is>
      </c>
      <c r="D29" s="270">
        <f>ESG_FO_Makale!$G$17</f>
        <v/>
      </c>
      <c r="E29" s="270" t="n">
        <v>0.02</v>
      </c>
      <c r="F29" s="270">
        <f>D29*E29</f>
        <v/>
      </c>
      <c r="G29" s="270">
        <f>ESG_FO_AnaBlok!$G$17</f>
        <v/>
      </c>
      <c r="H29" s="270">
        <f>E_AltGruplar!$G$19</f>
        <v/>
      </c>
      <c r="I29" s="270">
        <f>E_AtikKimya!J25</f>
        <v/>
      </c>
      <c r="J29" s="270">
        <f>G29*H29*I29</f>
        <v/>
      </c>
      <c r="K29" s="270">
        <f>H29*I29</f>
        <v/>
      </c>
      <c r="L29" s="270" t="inlineStr">
        <is>
          <t>Depolama alanları inşa edilmiş olsa da "tam uyum sağlanamaması" ve "kayıt eksiklikleri" nedeniyle orta seviyededir</t>
        </is>
      </c>
      <c r="M29" s="270" t="n">
        <v>4</v>
      </c>
      <c r="N29" s="270" t="inlineStr">
        <is>
          <t>Depolama alanları inşa edilmiş olsa da "tam uyum sağlanamaması" ve "kayıt eksiklikleri" nedeniyle orta seviyededir</t>
        </is>
      </c>
      <c r="O29" s="271" t="n">
        <v>4</v>
      </c>
      <c r="P29" s="270" t="inlineStr">
        <is>
          <t>Depolama alanları inşa edilmiş olsa da "tam uyum sağlanamaması" ve "kayıt eksiklikleri" nedeniyle orta seviyededir</t>
        </is>
      </c>
      <c r="Q29" s="270" t="n">
        <v>4</v>
      </c>
      <c r="R29" s="270">
        <f>100*(M29-1)/4</f>
        <v/>
      </c>
      <c r="S29" s="270">
        <f>100*(O29-1)/4</f>
        <v/>
      </c>
      <c r="T29" s="270">
        <f>100*(Q29-1)/4</f>
        <v/>
      </c>
      <c r="U29" s="270">
        <f>R29*J29</f>
        <v/>
      </c>
      <c r="V29" s="270">
        <f>R29*K29</f>
        <v/>
      </c>
      <c r="W29" s="270">
        <f>S29*$J29</f>
        <v/>
      </c>
      <c r="X29" s="270">
        <f>S29*K29</f>
        <v/>
      </c>
      <c r="Y29" s="270">
        <f>T29*$J29</f>
        <v/>
      </c>
      <c r="Z29" s="270">
        <f>T29*K29</f>
        <v/>
      </c>
      <c r="AA29" s="270">
        <f>R29*F29</f>
        <v/>
      </c>
      <c r="AB29" s="270">
        <f>R29*E29</f>
        <v/>
      </c>
      <c r="AC29" s="270">
        <f>S29*F29</f>
        <v/>
      </c>
      <c r="AD29" s="270">
        <f>S29*E29</f>
        <v/>
      </c>
      <c r="AE29" s="270">
        <f>T29*F29</f>
        <v/>
      </c>
      <c r="AF29" s="270">
        <f>T29*E29</f>
        <v/>
      </c>
      <c r="AG29" s="283">
        <f>R29*0.25*K29</f>
        <v/>
      </c>
      <c r="AH29" s="283">
        <f>K29*R29</f>
        <v/>
      </c>
      <c r="AI29" s="283">
        <f>S29*0.25*$K29</f>
        <v/>
      </c>
      <c r="AJ29" s="283">
        <f>S29*K29</f>
        <v/>
      </c>
      <c r="AK29" s="283">
        <f>T29*0.25*$K29</f>
        <v/>
      </c>
      <c r="AL29" s="283">
        <f>K29*T29</f>
        <v/>
      </c>
      <c r="AM29" s="283" t="n">
        <v>0.25</v>
      </c>
      <c r="AN29" s="270">
        <f>R29*I29*AM29*0.25</f>
        <v/>
      </c>
      <c r="AO29" s="270">
        <f>R29*I29*AM29</f>
        <v/>
      </c>
      <c r="AP29" s="270">
        <f>S29*I29*AM29*0.25</f>
        <v/>
      </c>
      <c r="AQ29" s="270">
        <f>S29*I29*AM29</f>
        <v/>
      </c>
      <c r="AR29" s="270">
        <f>T29*I29*AM29*0.25</f>
        <v/>
      </c>
      <c r="AS29" s="270">
        <f>T29*I29*AM29</f>
        <v/>
      </c>
      <c r="AT29" s="270">
        <f>1/7</f>
        <v/>
      </c>
      <c r="AU29" s="283" t="n">
        <v>0.25</v>
      </c>
      <c r="AV29" s="270">
        <f>R29*AT29*AU29*0.25</f>
        <v/>
      </c>
      <c r="AW29" s="270">
        <f>R29*AT29*AU29</f>
        <v/>
      </c>
      <c r="AX29" s="270">
        <f>S29*AT29*AU29*0.25</f>
        <v/>
      </c>
      <c r="AY29" s="270">
        <f>S29*AT29*AU29</f>
        <v/>
      </c>
      <c r="AZ29" s="270">
        <f>T29*AT29*AU29*0.25</f>
        <v/>
      </c>
      <c r="BA29" s="270">
        <f>T29*AT29*AU29</f>
        <v/>
      </c>
      <c r="BB29" s="270">
        <f>R29*K29*0.4</f>
        <v/>
      </c>
      <c r="BC29" s="270">
        <f>R29*K29</f>
        <v/>
      </c>
      <c r="BD29" s="270">
        <f>S29*K29*0.4</f>
        <v/>
      </c>
      <c r="BE29" s="270">
        <f>S29*K29</f>
        <v/>
      </c>
      <c r="BF29" s="270">
        <f>T29*K29*0.4</f>
        <v/>
      </c>
      <c r="BG29" s="308">
        <f>T29*K29</f>
        <v/>
      </c>
      <c r="BH29" s="308">
        <f>R29*K29*0.2</f>
        <v/>
      </c>
      <c r="BI29" s="308">
        <f>R29*K29</f>
        <v/>
      </c>
      <c r="BJ29" s="308">
        <f>S29*K29*0.2</f>
        <v/>
      </c>
      <c r="BK29" s="308">
        <f>S29*K29</f>
        <v/>
      </c>
      <c r="BL29" s="308">
        <f>T29*K29*0.2</f>
        <v/>
      </c>
      <c r="BM29" s="311">
        <f>T29*K29</f>
        <v/>
      </c>
      <c r="BN29" s="311">
        <f>R29*K29*0.2</f>
        <v/>
      </c>
      <c r="BO29" s="311">
        <f>K29*R29</f>
        <v/>
      </c>
      <c r="BP29" s="311">
        <f>S29*K29*0.2</f>
        <v/>
      </c>
      <c r="BQ29" s="311">
        <f>K29*S29</f>
        <v/>
      </c>
      <c r="BR29" s="311">
        <f>K29*T29*0.2</f>
        <v/>
      </c>
      <c r="BS29" s="270">
        <f>K29*T29</f>
        <v/>
      </c>
      <c r="BT29" s="270">
        <f>R29*K29*0.2</f>
        <v/>
      </c>
      <c r="BU29" s="270">
        <f>R29*K29</f>
        <v/>
      </c>
      <c r="BV29" s="270">
        <f>S29*K29*0.2</f>
        <v/>
      </c>
      <c r="BW29" s="270">
        <f>S29*K29</f>
        <v/>
      </c>
      <c r="BX29" s="270">
        <f>T29*K29*0.2</f>
        <v/>
      </c>
      <c r="BY29" s="270">
        <f>T29*K29</f>
        <v/>
      </c>
      <c r="BZ29" s="270">
        <f>R29*K29*0.34</f>
        <v/>
      </c>
      <c r="CA29" s="270">
        <f>R29*K29</f>
        <v/>
      </c>
      <c r="CB29" s="270">
        <f>S29*K29*0.34</f>
        <v/>
      </c>
      <c r="CC29" s="270">
        <f>S29*K29</f>
        <v/>
      </c>
      <c r="CD29" s="270">
        <f>T29*K29*0.34</f>
        <v/>
      </c>
      <c r="CE29" s="270">
        <f>T29*K29</f>
        <v/>
      </c>
    </row>
    <row r="30" ht="75" customFormat="1" customHeight="1" s="274">
      <c r="A30" s="274" t="n">
        <v>27</v>
      </c>
      <c r="B30" s="273" t="inlineStr">
        <is>
          <t>Kadro  Dağılımları</t>
        </is>
      </c>
      <c r="C30" s="273" t="inlineStr">
        <is>
          <t>Operasyonel Yapı: İşletmenin yönetimsel ve teknik kadro dengesini gösterir.</t>
        </is>
      </c>
      <c r="D30" s="274">
        <f>ESG_FO_Makale!$G$18</f>
        <v/>
      </c>
      <c r="E30" s="274" t="n">
        <v>0.035</v>
      </c>
      <c r="F30" s="274">
        <f>D30*E30</f>
        <v/>
      </c>
      <c r="G30" s="274">
        <f>ESG_FO_AnaBlok!$G$18</f>
        <v/>
      </c>
      <c r="H30" s="274">
        <f>S_AltGruplar!F$15</f>
        <v/>
      </c>
      <c r="I30" s="274">
        <f>S_IsgucuIst!L21</f>
        <v/>
      </c>
      <c r="J30" s="274">
        <f>G30*H30*I30</f>
        <v/>
      </c>
      <c r="K30" s="274">
        <f>H30*I30</f>
        <v/>
      </c>
      <c r="L30" s="274" t="inlineStr">
        <is>
          <t>Teknik personel oranı Ceylanpınar'da (136 kişi) operasyonel güç sağlarken, operasyonel yük işçi kadrolarındadır.</t>
        </is>
      </c>
      <c r="M30" s="274" t="n">
        <v>4</v>
      </c>
      <c r="N30" s="274" t="inlineStr">
        <is>
          <t>3 kadrolu, 73 sözleşmeli, 57 daimi işçi ve 266 taşeron çalışandan oluşmaktadır.Operasyonel yük işçi personeldedir.</t>
        </is>
      </c>
      <c r="O30" s="275" t="n">
        <v>3</v>
      </c>
      <c r="P30" s="274" t="inlineStr">
        <is>
          <t>3 idari; 12 teknik peronel yer alan toplam 550 kişilik kadro  bulunmaktadır.Operasyonel yük işçi personeldedir.</t>
        </is>
      </c>
      <c r="Q30" s="274" t="n">
        <v>3</v>
      </c>
      <c r="R30" s="274">
        <f>100*(M30-1)/4</f>
        <v/>
      </c>
      <c r="S30" s="274">
        <f>100*(O30-1)/4</f>
        <v/>
      </c>
      <c r="T30" s="274">
        <f>100*(Q30-1)/4</f>
        <v/>
      </c>
      <c r="U30" s="274">
        <f>R30*J30</f>
        <v/>
      </c>
      <c r="V30" s="274">
        <f>R30*K30</f>
        <v/>
      </c>
      <c r="W30" s="274">
        <f>S30*$J30</f>
        <v/>
      </c>
      <c r="X30" s="274">
        <f>S30*K30</f>
        <v/>
      </c>
      <c r="Y30" s="274">
        <f>T30*$J30</f>
        <v/>
      </c>
      <c r="Z30" s="274">
        <f>T30*K30</f>
        <v/>
      </c>
      <c r="AA30" s="274">
        <f>R30*F30</f>
        <v/>
      </c>
      <c r="AB30" s="274">
        <f>R30*E30</f>
        <v/>
      </c>
      <c r="AC30" s="274">
        <f>S30*F30</f>
        <v/>
      </c>
      <c r="AD30" s="274">
        <f>S30*E30</f>
        <v/>
      </c>
      <c r="AE30" s="274">
        <f>T30*F30</f>
        <v/>
      </c>
      <c r="AF30" s="274">
        <f>T30*E30</f>
        <v/>
      </c>
      <c r="AG30" s="284">
        <f>R30*0.25*K30</f>
        <v/>
      </c>
      <c r="AH30" s="284">
        <f>K30*R30</f>
        <v/>
      </c>
      <c r="AI30" s="284">
        <f>S30*0.25*$K30</f>
        <v/>
      </c>
      <c r="AJ30" s="284">
        <f>S30*K30</f>
        <v/>
      </c>
      <c r="AK30" s="284">
        <f>T30*0.25*$K30</f>
        <v/>
      </c>
      <c r="AL30" s="284">
        <f>K30*T30</f>
        <v/>
      </c>
      <c r="AM30" s="284">
        <f>1/3</f>
        <v/>
      </c>
      <c r="AN30" s="274">
        <f>R30*I30*AM30*0.25</f>
        <v/>
      </c>
      <c r="AO30" s="274">
        <f>R30*I30*AM30</f>
        <v/>
      </c>
      <c r="AP30" s="274">
        <f>S30*I30*AM30*0.25</f>
        <v/>
      </c>
      <c r="AQ30" s="274">
        <f>S30*I30*AM30</f>
        <v/>
      </c>
      <c r="AR30" s="274">
        <f>T30*I30*AM30*0.25</f>
        <v/>
      </c>
      <c r="AS30" s="274">
        <f>T30*I30*AM30</f>
        <v/>
      </c>
      <c r="AT30" s="274">
        <f>1/9</f>
        <v/>
      </c>
      <c r="AU30" s="284">
        <f>AM30</f>
        <v/>
      </c>
      <c r="AV30" s="274">
        <f>R30*AT30*AU30*0.25</f>
        <v/>
      </c>
      <c r="AW30" s="274">
        <f>R30*AT30*AU30</f>
        <v/>
      </c>
      <c r="AX30" s="274">
        <f>S30*AT30*AU30*0.25</f>
        <v/>
      </c>
      <c r="AY30" s="274">
        <f>S30*AT30*AU30</f>
        <v/>
      </c>
      <c r="AZ30" s="274">
        <f>T30*AT30*AU30*0.25</f>
        <v/>
      </c>
      <c r="BA30" s="274">
        <f>T30*AT30*AU30</f>
        <v/>
      </c>
      <c r="BB30" s="274">
        <f>R30*K30*0.2</f>
        <v/>
      </c>
      <c r="BC30" s="274">
        <f>R30*K30</f>
        <v/>
      </c>
      <c r="BD30" s="274">
        <f>S30*K30*0.2</f>
        <v/>
      </c>
      <c r="BE30" s="274">
        <f>S30*K30</f>
        <v/>
      </c>
      <c r="BF30" s="288">
        <f>T30*K30*0.2</f>
        <v/>
      </c>
      <c r="BG30" s="308">
        <f>T30*K30</f>
        <v/>
      </c>
      <c r="BH30" s="308">
        <f>R30*K30*0.4</f>
        <v/>
      </c>
      <c r="BI30" s="308">
        <f>R30*K30</f>
        <v/>
      </c>
      <c r="BJ30" s="308">
        <f>S30*K30*0.4</f>
        <v/>
      </c>
      <c r="BK30" s="308">
        <f>S30*K30</f>
        <v/>
      </c>
      <c r="BL30" s="308">
        <f>T30*K30*0.4</f>
        <v/>
      </c>
      <c r="BM30" s="311">
        <f>T30*K30</f>
        <v/>
      </c>
      <c r="BN30" s="311">
        <f>R30*K30*0.2</f>
        <v/>
      </c>
      <c r="BO30" s="311">
        <f>K30*R30</f>
        <v/>
      </c>
      <c r="BP30" s="311">
        <f>S30*K30*0.2</f>
        <v/>
      </c>
      <c r="BQ30" s="311">
        <f>K30*S30</f>
        <v/>
      </c>
      <c r="BR30" s="311">
        <f>K30*T30*0.2</f>
        <v/>
      </c>
      <c r="BS30" s="270">
        <f>K30*T30</f>
        <v/>
      </c>
      <c r="BT30" s="270">
        <f>R30*K30*0.2</f>
        <v/>
      </c>
      <c r="BU30" s="270">
        <f>R30*K30</f>
        <v/>
      </c>
      <c r="BV30" s="270">
        <f>S30*K30*0.2</f>
        <v/>
      </c>
      <c r="BW30" s="270">
        <f>S30*K30</f>
        <v/>
      </c>
      <c r="BX30" s="270">
        <f>T30*K30*0.2</f>
        <v/>
      </c>
      <c r="BY30" s="270">
        <f>T30*K30</f>
        <v/>
      </c>
      <c r="BZ30" s="274">
        <f>R30*K30*0.33</f>
        <v/>
      </c>
      <c r="CA30" s="274">
        <f>R30*K30</f>
        <v/>
      </c>
      <c r="CB30" s="274">
        <f>S30*K30*0.33</f>
        <v/>
      </c>
      <c r="CC30" s="274">
        <f>S30*K30</f>
        <v/>
      </c>
      <c r="CD30" s="274">
        <f>T30*K30*0.33</f>
        <v/>
      </c>
      <c r="CE30" s="274">
        <f>T30*K30</f>
        <v/>
      </c>
    </row>
    <row r="31" ht="150" customFormat="1" customHeight="1" s="274">
      <c r="A31" s="274" t="n">
        <v>28</v>
      </c>
      <c r="B31" s="273" t="inlineStr">
        <is>
          <t>Taşeron oranı</t>
        </is>
      </c>
      <c r="C31" s="273" t="inlineStr">
        <is>
          <t>Kurumsal Risk: Yüksek taşeron oranı, iş sürekliliği ve çalışan aidiyeti açısından risk taşır. Denetimde "güvenceli istihdam" göstergesidir.</t>
        </is>
      </c>
      <c r="D31" s="274">
        <f>ESG_FO_Makale!$G$18</f>
        <v/>
      </c>
      <c r="E31" s="274" t="n">
        <v>0.0525</v>
      </c>
      <c r="F31" s="274">
        <f>D31*E31</f>
        <v/>
      </c>
      <c r="G31" s="274">
        <f>ESG_FO_AnaBlok!$G$18</f>
        <v/>
      </c>
      <c r="H31" s="274">
        <f>S_AltGruplar!F$15</f>
        <v/>
      </c>
      <c r="I31" s="274">
        <f>S_IsgucuIst!L22</f>
        <v/>
      </c>
      <c r="J31" s="274">
        <f>G31*H31*I31</f>
        <v/>
      </c>
      <c r="K31" s="274">
        <f>H31*I31</f>
        <v/>
      </c>
      <c r="L31" s="274" t="inlineStr">
        <is>
          <t>Çok yüksek taşeron sayısı (İş gücü güvencesi riski yüksek).%68 gibi yüksek düzeyde bir taşeron oranıyla (2373 kişi) ciddi bir istihdam riski taşır</t>
        </is>
      </c>
      <c r="M31" s="274" t="n">
        <v>2</v>
      </c>
      <c r="N31" s="274" t="inlineStr">
        <is>
          <t>266 taşeron çalışanın bulunduğu ve taşeron oranının yaklaşık %66 olduğu bildirilmiştir. Bu oran, özellikle mevsimsel üretim ve yoğun dönemlerde işgücü yönetimi bakımından önemli bir risk alanına işaret etmektedir</t>
        </is>
      </c>
      <c r="O31" s="275" t="n">
        <v>2</v>
      </c>
      <c r="P31" s="274" t="inlineStr">
        <is>
          <t>399 taşeron çalışanın bulunduğu ve oranın yaklaşık %72 olduğu bildirilmiştir. Sezonluk işçilik ve hayvancılık faaliyetlerinde taşeron kullanımının bulunması, işgücü sürekliliği ve taşeron çalışanların İSG bakımından izlenmesi gereğini artırmaktadır.</t>
        </is>
      </c>
      <c r="Q31" s="274" t="n">
        <v>2</v>
      </c>
      <c r="R31" s="274">
        <f>100*(M31-1)/4</f>
        <v/>
      </c>
      <c r="S31" s="274">
        <f>100*(O31-1)/4</f>
        <v/>
      </c>
      <c r="T31" s="274">
        <f>100*(Q31-1)/4</f>
        <v/>
      </c>
      <c r="U31" s="274">
        <f>R31*J31</f>
        <v/>
      </c>
      <c r="V31" s="274">
        <f>R31*K31</f>
        <v/>
      </c>
      <c r="W31" s="274">
        <f>S31*$J31</f>
        <v/>
      </c>
      <c r="X31" s="274">
        <f>S31*K31</f>
        <v/>
      </c>
      <c r="Y31" s="274">
        <f>T31*$J31</f>
        <v/>
      </c>
      <c r="Z31" s="274">
        <f>T31*K31</f>
        <v/>
      </c>
      <c r="AA31" s="274">
        <f>R31*F31</f>
        <v/>
      </c>
      <c r="AB31" s="274">
        <f>R31*E31</f>
        <v/>
      </c>
      <c r="AC31" s="274">
        <f>S31*F31</f>
        <v/>
      </c>
      <c r="AD31" s="274">
        <f>S31*E31</f>
        <v/>
      </c>
      <c r="AE31" s="274">
        <f>T31*F31</f>
        <v/>
      </c>
      <c r="AF31" s="274">
        <f>T31*E31</f>
        <v/>
      </c>
      <c r="AG31" s="284">
        <f>R31*0.25*K31</f>
        <v/>
      </c>
      <c r="AH31" s="284">
        <f>K31*R31</f>
        <v/>
      </c>
      <c r="AI31" s="284">
        <f>S31*0.25*$K31</f>
        <v/>
      </c>
      <c r="AJ31" s="284">
        <f>S31*K31</f>
        <v/>
      </c>
      <c r="AK31" s="284">
        <f>T31*0.25*$K31</f>
        <v/>
      </c>
      <c r="AL31" s="284">
        <f>K31*T31</f>
        <v/>
      </c>
      <c r="AM31" s="284">
        <f>1/3</f>
        <v/>
      </c>
      <c r="AN31" s="274">
        <f>R31*I31*AM31*0.25</f>
        <v/>
      </c>
      <c r="AO31" s="274">
        <f>R31*I31*AM31</f>
        <v/>
      </c>
      <c r="AP31" s="274">
        <f>S31*I31*AM31*0.25</f>
        <v/>
      </c>
      <c r="AQ31" s="274">
        <f>S31*I31*AM31</f>
        <v/>
      </c>
      <c r="AR31" s="274">
        <f>T31*I31*AM31*0.25</f>
        <v/>
      </c>
      <c r="AS31" s="274">
        <f>T31*I31*AM31</f>
        <v/>
      </c>
      <c r="AT31" s="274">
        <f>1/9</f>
        <v/>
      </c>
      <c r="AU31" s="284">
        <f>AM31</f>
        <v/>
      </c>
      <c r="AV31" s="274">
        <f>R31*AT31*AU31*0.25</f>
        <v/>
      </c>
      <c r="AW31" s="274">
        <f>R31*AT31*AU31</f>
        <v/>
      </c>
      <c r="AX31" s="274">
        <f>S31*AT31*AU31*0.25</f>
        <v/>
      </c>
      <c r="AY31" s="274">
        <f>S31*AT31*AU31</f>
        <v/>
      </c>
      <c r="AZ31" s="274">
        <f>T31*AT31*AU31*0.25</f>
        <v/>
      </c>
      <c r="BA31" s="274">
        <f>T31*AT31*AU31</f>
        <v/>
      </c>
      <c r="BB31" s="274">
        <f>R31*K31*0.2</f>
        <v/>
      </c>
      <c r="BC31" s="274">
        <f>R31*K31</f>
        <v/>
      </c>
      <c r="BD31" s="274">
        <f>S31*K31*0.2</f>
        <v/>
      </c>
      <c r="BE31" s="274">
        <f>S31*K31</f>
        <v/>
      </c>
      <c r="BF31" s="288">
        <f>T31*K31*0.2</f>
        <v/>
      </c>
      <c r="BG31" s="308">
        <f>T31*K31</f>
        <v/>
      </c>
      <c r="BH31" s="308">
        <f>R31*K31*0.4</f>
        <v/>
      </c>
      <c r="BI31" s="308">
        <f>R31*K31</f>
        <v/>
      </c>
      <c r="BJ31" s="308">
        <f>S31*K31*0.4</f>
        <v/>
      </c>
      <c r="BK31" s="308">
        <f>S31*K31</f>
        <v/>
      </c>
      <c r="BL31" s="308">
        <f>T31*K31*0.4</f>
        <v/>
      </c>
      <c r="BM31" s="311">
        <f>T31*K31</f>
        <v/>
      </c>
      <c r="BN31" s="311">
        <f>R31*K31*0.2</f>
        <v/>
      </c>
      <c r="BO31" s="311">
        <f>K31*R31</f>
        <v/>
      </c>
      <c r="BP31" s="311">
        <f>S31*K31*0.2</f>
        <v/>
      </c>
      <c r="BQ31" s="311">
        <f>K31*S31</f>
        <v/>
      </c>
      <c r="BR31" s="311">
        <f>K31*T31*0.2</f>
        <v/>
      </c>
      <c r="BS31" s="270">
        <f>K31*T31</f>
        <v/>
      </c>
      <c r="BT31" s="270">
        <f>R31*K31*0.2</f>
        <v/>
      </c>
      <c r="BU31" s="270">
        <f>R31*K31</f>
        <v/>
      </c>
      <c r="BV31" s="270">
        <f>S31*K31*0.2</f>
        <v/>
      </c>
      <c r="BW31" s="270">
        <f>S31*K31</f>
        <v/>
      </c>
      <c r="BX31" s="270">
        <f>T31*K31*0.2</f>
        <v/>
      </c>
      <c r="BY31" s="270">
        <f>T31*K31</f>
        <v/>
      </c>
      <c r="BZ31" s="274">
        <f>R31*K31*0.33</f>
        <v/>
      </c>
      <c r="CA31" s="274">
        <f>R31*K31</f>
        <v/>
      </c>
      <c r="CB31" s="274">
        <f>S31*K31*0.33</f>
        <v/>
      </c>
      <c r="CC31" s="274">
        <f>S31*K31</f>
        <v/>
      </c>
      <c r="CD31" s="274">
        <f>T31*K31*0.33</f>
        <v/>
      </c>
      <c r="CE31" s="274">
        <f>T31*K31</f>
        <v/>
      </c>
    </row>
    <row r="32" ht="195" customFormat="1" customHeight="1" s="274">
      <c r="A32" s="274" t="n">
        <v>29</v>
      </c>
      <c r="B32" s="273" t="inlineStr">
        <is>
          <t>Yaş Dağılımı</t>
        </is>
      </c>
      <c r="C32" s="273" t="inlineStr">
        <is>
          <t>Kuşak Devri: Personelin yaş ortalaması, kurumsal hafızanın korunması ve teknolojik adaptasyon yeteneği (gençleşme ihtiyacı) hakkında fikir verir.</t>
        </is>
      </c>
      <c r="D32" s="274">
        <f>ESG_FO_Makale!$G$18</f>
        <v/>
      </c>
      <c r="E32" s="274" t="n">
        <v>0.0175</v>
      </c>
      <c r="F32" s="274">
        <f>D32*E32</f>
        <v/>
      </c>
      <c r="G32" s="274">
        <f>ESG_FO_AnaBlok!$G$18</f>
        <v/>
      </c>
      <c r="H32" s="274">
        <f>S_AltGruplar!F$15</f>
        <v/>
      </c>
      <c r="I32" s="274">
        <f>S_IsgucuIst!L23</f>
        <v/>
      </c>
      <c r="J32" s="274">
        <f>G32*H32*I32</f>
        <v/>
      </c>
      <c r="K32" s="274">
        <f>H32*I32</f>
        <v/>
      </c>
      <c r="L32" s="274" t="inlineStr">
        <is>
          <t>Kadrolu personelin yaklaşık %51'i 40 yaş ve üzerindedir; bu durum deneyim açısından avantaj olsa da uzun vadede emeklilik yükü ve fiziksel iş gücü yenilenmesi riski taşır.</t>
        </is>
      </c>
      <c r="M32" s="274" t="n">
        <v>2</v>
      </c>
      <c r="N32" s="274" t="inlineStr">
        <is>
          <t>Çalışanların yaklaşık %55’inin 40 yaş altında olduğu ve yaş gruplarının dengeli dağıldığı bildirilmiştir. Bu yapı, deneyimli çalışanların kurumsal hafızaya katkısı ile genç çalışanların teknolojik uyum kapasitesini birlikte taşıyabilir</t>
        </is>
      </c>
      <c r="O32" s="275" t="n">
        <v>4</v>
      </c>
      <c r="P32" s="274" t="inlineStr">
        <is>
          <t>Personelin yaklaşık %59’unun 25–44 yaş aralığında yer alması, üretim faaliyetleri bakımından aktif yaş gruplarının ağırlıklı olduğunu göstermektedir. Bununla birlikte, 18–24 yaş grubunun yaklaşık %3,3 ile sınırlı olması genç çalışanların kuruma kazandırılması bakımından geliştirilmesi gereken bir alan bulunduğuna işaret etmektedir.</t>
        </is>
      </c>
      <c r="Q32" s="274" t="n">
        <v>3</v>
      </c>
      <c r="R32" s="274">
        <f>100*(M32-1)/4</f>
        <v/>
      </c>
      <c r="S32" s="274">
        <f>100*(O32-1)/4</f>
        <v/>
      </c>
      <c r="T32" s="274">
        <f>100*(Q32-1)/4</f>
        <v/>
      </c>
      <c r="U32" s="274">
        <f>R32*J32</f>
        <v/>
      </c>
      <c r="V32" s="274">
        <f>R32*K32</f>
        <v/>
      </c>
      <c r="W32" s="274">
        <f>S32*$J32</f>
        <v/>
      </c>
      <c r="X32" s="274">
        <f>S32*K32</f>
        <v/>
      </c>
      <c r="Y32" s="274">
        <f>T32*$J32</f>
        <v/>
      </c>
      <c r="Z32" s="274">
        <f>T32*K32</f>
        <v/>
      </c>
      <c r="AA32" s="274">
        <f>R32*F32</f>
        <v/>
      </c>
      <c r="AB32" s="274">
        <f>R32*E32</f>
        <v/>
      </c>
      <c r="AC32" s="274">
        <f>S32*F32</f>
        <v/>
      </c>
      <c r="AD32" s="274">
        <f>S32*E32</f>
        <v/>
      </c>
      <c r="AE32" s="274">
        <f>T32*F32</f>
        <v/>
      </c>
      <c r="AF32" s="274">
        <f>T32*E32</f>
        <v/>
      </c>
      <c r="AG32" s="284">
        <f>R32*0.25*K32</f>
        <v/>
      </c>
      <c r="AH32" s="284">
        <f>K32*R32</f>
        <v/>
      </c>
      <c r="AI32" s="284">
        <f>S32*0.25*$K32</f>
        <v/>
      </c>
      <c r="AJ32" s="284">
        <f>S32*K32</f>
        <v/>
      </c>
      <c r="AK32" s="284">
        <f>T32*0.25*$K32</f>
        <v/>
      </c>
      <c r="AL32" s="284">
        <f>K32*T32</f>
        <v/>
      </c>
      <c r="AM32" s="284">
        <f>1/3</f>
        <v/>
      </c>
      <c r="AN32" s="274">
        <f>R32*I32*AM32*0.25</f>
        <v/>
      </c>
      <c r="AO32" s="274">
        <f>R32*I32*AM32</f>
        <v/>
      </c>
      <c r="AP32" s="274">
        <f>S32*I32*AM32*0.25</f>
        <v/>
      </c>
      <c r="AQ32" s="274">
        <f>S32*I32*AM32</f>
        <v/>
      </c>
      <c r="AR32" s="274">
        <f>T32*I32*AM32*0.25</f>
        <v/>
      </c>
      <c r="AS32" s="274">
        <f>T32*I32*AM32</f>
        <v/>
      </c>
      <c r="AT32" s="274">
        <f>1/9</f>
        <v/>
      </c>
      <c r="AU32" s="284">
        <f>AM32</f>
        <v/>
      </c>
      <c r="AV32" s="274">
        <f>R32*AT32*AU32*0.25</f>
        <v/>
      </c>
      <c r="AW32" s="274">
        <f>R32*AT32*AU32</f>
        <v/>
      </c>
      <c r="AX32" s="274">
        <f>S32*AT32*AU32*0.25</f>
        <v/>
      </c>
      <c r="AY32" s="274">
        <f>S32*AT32*AU32</f>
        <v/>
      </c>
      <c r="AZ32" s="274">
        <f>T32*AT32*AU32*0.25</f>
        <v/>
      </c>
      <c r="BA32" s="274">
        <f>T32*AT32*AU32</f>
        <v/>
      </c>
      <c r="BB32" s="274">
        <f>R32*K32*0.2</f>
        <v/>
      </c>
      <c r="BC32" s="274">
        <f>R32*K32</f>
        <v/>
      </c>
      <c r="BD32" s="274">
        <f>S32*K32*0.2</f>
        <v/>
      </c>
      <c r="BE32" s="274">
        <f>S32*K32</f>
        <v/>
      </c>
      <c r="BF32" s="288">
        <f>T32*K32*0.2</f>
        <v/>
      </c>
      <c r="BG32" s="308">
        <f>T32*K32</f>
        <v/>
      </c>
      <c r="BH32" s="308">
        <f>R32*K32*0.4</f>
        <v/>
      </c>
      <c r="BI32" s="308">
        <f>R32*K32</f>
        <v/>
      </c>
      <c r="BJ32" s="308">
        <f>S32*K32*0.4</f>
        <v/>
      </c>
      <c r="BK32" s="308">
        <f>S32*K32</f>
        <v/>
      </c>
      <c r="BL32" s="308">
        <f>T32*K32*0.4</f>
        <v/>
      </c>
      <c r="BM32" s="311">
        <f>T32*K32</f>
        <v/>
      </c>
      <c r="BN32" s="311">
        <f>R32*K32*0.2</f>
        <v/>
      </c>
      <c r="BO32" s="311">
        <f>K32*R32</f>
        <v/>
      </c>
      <c r="BP32" s="311">
        <f>S32*K32*0.2</f>
        <v/>
      </c>
      <c r="BQ32" s="311">
        <f>K32*S32</f>
        <v/>
      </c>
      <c r="BR32" s="311">
        <f>K32*T32*0.2</f>
        <v/>
      </c>
      <c r="BS32" s="270">
        <f>K32*T32</f>
        <v/>
      </c>
      <c r="BT32" s="270">
        <f>R32*K32*0.2</f>
        <v/>
      </c>
      <c r="BU32" s="270">
        <f>R32*K32</f>
        <v/>
      </c>
      <c r="BV32" s="270">
        <f>S32*K32*0.2</f>
        <v/>
      </c>
      <c r="BW32" s="270">
        <f>S32*K32</f>
        <v/>
      </c>
      <c r="BX32" s="270">
        <f>T32*K32*0.2</f>
        <v/>
      </c>
      <c r="BY32" s="270">
        <f>T32*K32</f>
        <v/>
      </c>
      <c r="BZ32" s="274">
        <f>R32*K32*0.33</f>
        <v/>
      </c>
      <c r="CA32" s="274">
        <f>R32*K32</f>
        <v/>
      </c>
      <c r="CB32" s="274">
        <f>S32*K32*0.33</f>
        <v/>
      </c>
      <c r="CC32" s="274">
        <f>S32*K32</f>
        <v/>
      </c>
      <c r="CD32" s="274">
        <f>T32*K32*0.33</f>
        <v/>
      </c>
      <c r="CE32" s="274">
        <f>T32*K32</f>
        <v/>
      </c>
    </row>
    <row r="33" ht="105" customFormat="1" customHeight="1" s="274">
      <c r="A33" s="274" t="n">
        <v>30</v>
      </c>
      <c r="B33" s="273" t="inlineStr">
        <is>
          <t>Sendikalılık</t>
        </is>
      </c>
      <c r="C33" s="273" t="inlineStr">
        <is>
          <t>Çalışan Hakları: Kamu işletmelerinde sosyal diyaloğun ve toplu iş sözleşmesi güvencesinin kanıtıdır.</t>
        </is>
      </c>
      <c r="D33" s="274">
        <f>ESG_FO_Makale!$G$18</f>
        <v/>
      </c>
      <c r="E33" s="274" t="n">
        <v>0.035</v>
      </c>
      <c r="F33" s="274">
        <f>D33*E33</f>
        <v/>
      </c>
      <c r="G33" s="274">
        <f>ESG_FO_AnaBlok!$G$18</f>
        <v/>
      </c>
      <c r="H33" s="274">
        <f>S_AltGruplar!F$15</f>
        <v/>
      </c>
      <c r="I33" s="274">
        <f>S_IsgucuIst!L24</f>
        <v/>
      </c>
      <c r="J33" s="274">
        <f>G33*H33*I33</f>
        <v/>
      </c>
      <c r="K33" s="274">
        <f>H33*I33</f>
        <v/>
      </c>
      <c r="L33" s="274" t="inlineStr">
        <is>
          <t>Bu bilgiye ulaşılamadı (Maaş hesaplama tabloları gereği bu bilgi kullanılmakla birlikte bu yönde istatistiki bir çalışma bulunmamaktadır)</t>
        </is>
      </c>
      <c r="M33" s="274" t="n">
        <v>2</v>
      </c>
      <c r="N33" s="274" t="inlineStr">
        <is>
          <t xml:space="preserve">Kadrolu personelin sendikalaşma oranının yaklaşık %32 olduğu bildirilmiştir. Bu oran, çalışanların belirli bir bölümünün sendikal temsil ve toplu pazarlık mekanizmalarına eriştiğini göstermektedir; </t>
        </is>
      </c>
      <c r="O33" s="275" t="n">
        <v>3</v>
      </c>
      <c r="P33" s="274" t="inlineStr">
        <is>
          <t>151 kadrolu çalışanın 104’ünün sendikalı olduğu bildirilmiştir. Bu değer, kadrolu çalışanlar içinde yaklaşık %68,9’luk bir sendikalılık oranına karşılık gelmektedir.</t>
        </is>
      </c>
      <c r="Q33" s="274" t="n">
        <v>4</v>
      </c>
      <c r="R33" s="274">
        <f>100*(M33-1)/4</f>
        <v/>
      </c>
      <c r="S33" s="274">
        <f>100*(O33-1)/4</f>
        <v/>
      </c>
      <c r="T33" s="274">
        <f>100*(Q33-1)/4</f>
        <v/>
      </c>
      <c r="U33" s="274">
        <f>R33*J33</f>
        <v/>
      </c>
      <c r="V33" s="274">
        <f>R33*K33</f>
        <v/>
      </c>
      <c r="W33" s="274">
        <f>S33*$J33</f>
        <v/>
      </c>
      <c r="X33" s="274">
        <f>S33*K33</f>
        <v/>
      </c>
      <c r="Y33" s="274">
        <f>T33*$J33</f>
        <v/>
      </c>
      <c r="Z33" s="274">
        <f>T33*K33</f>
        <v/>
      </c>
      <c r="AA33" s="274">
        <f>R33*F33</f>
        <v/>
      </c>
      <c r="AB33" s="274">
        <f>R33*E33</f>
        <v/>
      </c>
      <c r="AC33" s="274">
        <f>S33*F33</f>
        <v/>
      </c>
      <c r="AD33" s="274">
        <f>S33*E33</f>
        <v/>
      </c>
      <c r="AE33" s="274">
        <f>T33*F33</f>
        <v/>
      </c>
      <c r="AF33" s="274">
        <f>T33*E33</f>
        <v/>
      </c>
      <c r="AG33" s="284">
        <f>R33*0.25*K33</f>
        <v/>
      </c>
      <c r="AH33" s="284">
        <f>K33*R33</f>
        <v/>
      </c>
      <c r="AI33" s="284">
        <f>S33*0.25*$K33</f>
        <v/>
      </c>
      <c r="AJ33" s="284">
        <f>S33*K33</f>
        <v/>
      </c>
      <c r="AK33" s="284">
        <f>T33*0.25*$K33</f>
        <v/>
      </c>
      <c r="AL33" s="284">
        <f>K33*T33</f>
        <v/>
      </c>
      <c r="AM33" s="284">
        <f>1/3</f>
        <v/>
      </c>
      <c r="AN33" s="274">
        <f>R33*I33*AM33*0.25</f>
        <v/>
      </c>
      <c r="AO33" s="274">
        <f>R33*I33*AM33</f>
        <v/>
      </c>
      <c r="AP33" s="274">
        <f>S33*I33*AM33*0.25</f>
        <v/>
      </c>
      <c r="AQ33" s="274">
        <f>S33*I33*AM33</f>
        <v/>
      </c>
      <c r="AR33" s="274">
        <f>T33*I33*AM33*0.25</f>
        <v/>
      </c>
      <c r="AS33" s="274">
        <f>T33*I33*AM33</f>
        <v/>
      </c>
      <c r="AT33" s="274">
        <f>1/9</f>
        <v/>
      </c>
      <c r="AU33" s="284">
        <f>AM33</f>
        <v/>
      </c>
      <c r="AV33" s="274">
        <f>R33*AT33*AU33*0.25</f>
        <v/>
      </c>
      <c r="AW33" s="274">
        <f>R33*AT33*AU33</f>
        <v/>
      </c>
      <c r="AX33" s="274">
        <f>S33*AT33*AU33*0.25</f>
        <v/>
      </c>
      <c r="AY33" s="274">
        <f>S33*AT33*AU33</f>
        <v/>
      </c>
      <c r="AZ33" s="274">
        <f>T33*AT33*AU33*0.25</f>
        <v/>
      </c>
      <c r="BA33" s="274">
        <f>T33*AT33*AU33</f>
        <v/>
      </c>
      <c r="BB33" s="274">
        <f>R33*K33*0.2</f>
        <v/>
      </c>
      <c r="BC33" s="274">
        <f>R33*K33</f>
        <v/>
      </c>
      <c r="BD33" s="274">
        <f>S33*K33*0.2</f>
        <v/>
      </c>
      <c r="BE33" s="274">
        <f>S33*K33</f>
        <v/>
      </c>
      <c r="BF33" s="288">
        <f>T33*K33*0.2</f>
        <v/>
      </c>
      <c r="BG33" s="308">
        <f>T33*K33</f>
        <v/>
      </c>
      <c r="BH33" s="308">
        <f>R33*K33*0.4</f>
        <v/>
      </c>
      <c r="BI33" s="308">
        <f>R33*K33</f>
        <v/>
      </c>
      <c r="BJ33" s="308">
        <f>S33*K33*0.4</f>
        <v/>
      </c>
      <c r="BK33" s="308">
        <f>S33*K33</f>
        <v/>
      </c>
      <c r="BL33" s="308">
        <f>T33*K33*0.4</f>
        <v/>
      </c>
      <c r="BM33" s="311">
        <f>T33*K33</f>
        <v/>
      </c>
      <c r="BN33" s="311">
        <f>R33*K33*0.2</f>
        <v/>
      </c>
      <c r="BO33" s="311">
        <f>K33*R33</f>
        <v/>
      </c>
      <c r="BP33" s="311">
        <f>S33*K33*0.2</f>
        <v/>
      </c>
      <c r="BQ33" s="311">
        <f>K33*S33</f>
        <v/>
      </c>
      <c r="BR33" s="311">
        <f>K33*T33*0.2</f>
        <v/>
      </c>
      <c r="BS33" s="270">
        <f>K33*T33</f>
        <v/>
      </c>
      <c r="BT33" s="270">
        <f>R33*K33*0.2</f>
        <v/>
      </c>
      <c r="BU33" s="270">
        <f>R33*K33</f>
        <v/>
      </c>
      <c r="BV33" s="270">
        <f>S33*K33*0.2</f>
        <v/>
      </c>
      <c r="BW33" s="270">
        <f>S33*K33</f>
        <v/>
      </c>
      <c r="BX33" s="270">
        <f>T33*K33*0.2</f>
        <v/>
      </c>
      <c r="BY33" s="270">
        <f>T33*K33</f>
        <v/>
      </c>
      <c r="BZ33" s="274">
        <f>R33*K33*0.33</f>
        <v/>
      </c>
      <c r="CA33" s="274">
        <f>R33*K33</f>
        <v/>
      </c>
      <c r="CB33" s="274">
        <f>S33*K33*0.33</f>
        <v/>
      </c>
      <c r="CC33" s="274">
        <f>S33*K33</f>
        <v/>
      </c>
      <c r="CD33" s="274">
        <f>T33*K33*0.33</f>
        <v/>
      </c>
      <c r="CE33" s="274">
        <f>T33*K33</f>
        <v/>
      </c>
    </row>
    <row r="34" ht="165" customFormat="1" customHeight="1" s="274">
      <c r="A34" s="274" t="n">
        <v>31</v>
      </c>
      <c r="B34" s="273" t="inlineStr">
        <is>
          <t>Çalışma Süreleri</t>
        </is>
      </c>
      <c r="C34" s="273" t="inlineStr">
        <is>
          <t>Refah ve İSG: Personelin iş-yaşam dengesini ve yorgunluğa bağlı iş kazası riskini ölçer.</t>
        </is>
      </c>
      <c r="D34" s="274">
        <f>ESG_FO_Makale!$G$18</f>
        <v/>
      </c>
      <c r="E34" s="274" t="n">
        <v>0.035</v>
      </c>
      <c r="F34" s="274">
        <f>D34*E34</f>
        <v/>
      </c>
      <c r="G34" s="274">
        <f>ESG_FO_AnaBlok!$G$18</f>
        <v/>
      </c>
      <c r="H34" s="274">
        <f>S_AltGruplar!F$15</f>
        <v/>
      </c>
      <c r="I34" s="274">
        <f>S_IsgucuIst!L25</f>
        <v/>
      </c>
      <c r="J34" s="274">
        <f>G34*H34*I34</f>
        <v/>
      </c>
      <c r="K34" s="274">
        <f>H34*I34</f>
        <v/>
      </c>
      <c r="L34" s="274" t="inlineStr">
        <is>
          <t>Daha fazla devir daim hızı gözlemlendiği beyan edilmiştir; istatistiki bilgi mevcut değildir. Kurum genelinde işletmelerde çalışan teknik personel çalışma koşulları karşısında özlük haklarını yetersiz bularak diğer kurumlara geçiş arayışındadır.</t>
        </is>
      </c>
      <c r="M34" s="274" t="n">
        <v>3</v>
      </c>
      <c r="N34" s="274" t="inlineStr">
        <is>
          <t>İstifa sayıları çok düşüktür; istatistiki bilgi mevcut değildir.çalışan memnuniyeti diğer işletmelere oranla daha yüksek gözlemlenmektedir.Kurum genelinde işletmelerde çalışan teknik personel çalışma koşulları karşısında özlük haklarını yetersiz bularak diğer kurumlara geçiş arayışındadır.</t>
        </is>
      </c>
      <c r="O34" s="275" t="n">
        <v>4</v>
      </c>
      <c r="P34" s="274" t="inlineStr">
        <is>
          <t>İstifa sayıları çok düşüktür; istatistiki bilgi mevcut değildir.Kurum genelinde işletmelerde çalışan teknik personel çalışma koşulları karşısında özlük haklarını yetersiz bularak diğer kurumlara geçiş arayışındadır.</t>
        </is>
      </c>
      <c r="Q34" s="274" t="n">
        <v>3</v>
      </c>
      <c r="R34" s="274">
        <f>100*(M34-1)/4</f>
        <v/>
      </c>
      <c r="S34" s="274">
        <f>100*(O34-1)/4</f>
        <v/>
      </c>
      <c r="T34" s="274">
        <f>100*(Q34-1)/4</f>
        <v/>
      </c>
      <c r="U34" s="274">
        <f>R34*J34</f>
        <v/>
      </c>
      <c r="V34" s="274">
        <f>R34*K34</f>
        <v/>
      </c>
      <c r="W34" s="274">
        <f>S34*$J34</f>
        <v/>
      </c>
      <c r="X34" s="274">
        <f>S34*K34</f>
        <v/>
      </c>
      <c r="Y34" s="274">
        <f>T34*$J34</f>
        <v/>
      </c>
      <c r="Z34" s="274">
        <f>T34*K34</f>
        <v/>
      </c>
      <c r="AA34" s="274">
        <f>R34*F34</f>
        <v/>
      </c>
      <c r="AB34" s="274">
        <f>R34*E34</f>
        <v/>
      </c>
      <c r="AC34" s="274">
        <f>S34*F34</f>
        <v/>
      </c>
      <c r="AD34" s="274">
        <f>S34*E34</f>
        <v/>
      </c>
      <c r="AE34" s="274">
        <f>T34*F34</f>
        <v/>
      </c>
      <c r="AF34" s="274">
        <f>T34*E34</f>
        <v/>
      </c>
      <c r="AG34" s="284">
        <f>R34*0.25*K34</f>
        <v/>
      </c>
      <c r="AH34" s="284">
        <f>K34*R34</f>
        <v/>
      </c>
      <c r="AI34" s="284">
        <f>S34*0.25*$K34</f>
        <v/>
      </c>
      <c r="AJ34" s="284">
        <f>S34*K34</f>
        <v/>
      </c>
      <c r="AK34" s="284">
        <f>T34*0.25*$K34</f>
        <v/>
      </c>
      <c r="AL34" s="284">
        <f>K34*T34</f>
        <v/>
      </c>
      <c r="AM34" s="284">
        <f>1/3</f>
        <v/>
      </c>
      <c r="AN34" s="274">
        <f>R34*I34*AM34*0.25</f>
        <v/>
      </c>
      <c r="AO34" s="274">
        <f>R34*I34*AM34</f>
        <v/>
      </c>
      <c r="AP34" s="274">
        <f>S34*I34*AM34*0.25</f>
        <v/>
      </c>
      <c r="AQ34" s="274">
        <f>S34*I34*AM34</f>
        <v/>
      </c>
      <c r="AR34" s="274">
        <f>T34*I34*AM34*0.25</f>
        <v/>
      </c>
      <c r="AS34" s="274">
        <f>T34*I34*AM34</f>
        <v/>
      </c>
      <c r="AT34" s="274">
        <f>1/9</f>
        <v/>
      </c>
      <c r="AU34" s="284">
        <f>AM34</f>
        <v/>
      </c>
      <c r="AV34" s="274">
        <f>R34*AT34*AU34*0.25</f>
        <v/>
      </c>
      <c r="AW34" s="274">
        <f>R34*AT34*AU34</f>
        <v/>
      </c>
      <c r="AX34" s="274">
        <f>S34*AT34*AU34*0.25</f>
        <v/>
      </c>
      <c r="AY34" s="274">
        <f>S34*AT34*AU34</f>
        <v/>
      </c>
      <c r="AZ34" s="274">
        <f>T34*AT34*AU34*0.25</f>
        <v/>
      </c>
      <c r="BA34" s="274">
        <f>T34*AT34*AU34</f>
        <v/>
      </c>
      <c r="BB34" s="274">
        <f>R34*K34*0.2</f>
        <v/>
      </c>
      <c r="BC34" s="274">
        <f>R34*K34</f>
        <v/>
      </c>
      <c r="BD34" s="274">
        <f>S34*K34*0.2</f>
        <v/>
      </c>
      <c r="BE34" s="274">
        <f>S34*K34</f>
        <v/>
      </c>
      <c r="BF34" s="288">
        <f>T34*K34*0.2</f>
        <v/>
      </c>
      <c r="BG34" s="308">
        <f>T34*K34</f>
        <v/>
      </c>
      <c r="BH34" s="308">
        <f>R34*K34*0.4</f>
        <v/>
      </c>
      <c r="BI34" s="308">
        <f>R34*K34</f>
        <v/>
      </c>
      <c r="BJ34" s="308">
        <f>S34*K34*0.4</f>
        <v/>
      </c>
      <c r="BK34" s="308">
        <f>S34*K34</f>
        <v/>
      </c>
      <c r="BL34" s="308">
        <f>T34*K34*0.4</f>
        <v/>
      </c>
      <c r="BM34" s="311">
        <f>T34*K34</f>
        <v/>
      </c>
      <c r="BN34" s="311">
        <f>R34*K34*0.2</f>
        <v/>
      </c>
      <c r="BO34" s="311">
        <f>K34*R34</f>
        <v/>
      </c>
      <c r="BP34" s="311">
        <f>S34*K34*0.2</f>
        <v/>
      </c>
      <c r="BQ34" s="311">
        <f>K34*S34</f>
        <v/>
      </c>
      <c r="BR34" s="311">
        <f>K34*T34*0.2</f>
        <v/>
      </c>
      <c r="BS34" s="270">
        <f>K34*T34</f>
        <v/>
      </c>
      <c r="BT34" s="270">
        <f>R34*K34*0.2</f>
        <v/>
      </c>
      <c r="BU34" s="270">
        <f>R34*K34</f>
        <v/>
      </c>
      <c r="BV34" s="270">
        <f>S34*K34*0.2</f>
        <v/>
      </c>
      <c r="BW34" s="270">
        <f>S34*K34</f>
        <v/>
      </c>
      <c r="BX34" s="270">
        <f>T34*K34*0.2</f>
        <v/>
      </c>
      <c r="BY34" s="270">
        <f>T34*K34</f>
        <v/>
      </c>
      <c r="BZ34" s="274">
        <f>R34*K34*0.33</f>
        <v/>
      </c>
      <c r="CA34" s="274">
        <f>R34*K34</f>
        <v/>
      </c>
      <c r="CB34" s="274">
        <f>S34*K34*0.33</f>
        <v/>
      </c>
      <c r="CC34" s="274">
        <f>S34*K34</f>
        <v/>
      </c>
      <c r="CD34" s="274">
        <f>T34*K34*0.33</f>
        <v/>
      </c>
      <c r="CE34" s="274">
        <f>T34*K34</f>
        <v/>
      </c>
    </row>
    <row r="35" ht="114.75" customFormat="1" customHeight="1" s="274">
      <c r="A35" s="274" t="n">
        <v>32</v>
      </c>
      <c r="B35" s="273" t="inlineStr">
        <is>
          <t>Eğitim</t>
        </is>
      </c>
      <c r="C35" s="273" t="inlineStr">
        <is>
          <t>Yetenek Yönetimi: Modern tarım tekniklerinin uygulanabilirliği personelin eğitim seviyesine bağlıdır. Nexus yönetimi için "nitelikli beyin" göstergesidir.</t>
        </is>
      </c>
      <c r="D35" s="274">
        <f>ESG_FO_Makale!$G$18</f>
        <v/>
      </c>
      <c r="E35" s="274" t="n">
        <v>0.0525</v>
      </c>
      <c r="F35" s="274">
        <f>D35*E35</f>
        <v/>
      </c>
      <c r="G35" s="274">
        <f>ESG_FO_AnaBlok!$G$18</f>
        <v/>
      </c>
      <c r="H35" s="274">
        <f>S_AltGruplar!F$15</f>
        <v/>
      </c>
      <c r="I35" s="274">
        <f>S_IsgucuIst!L26</f>
        <v/>
      </c>
      <c r="J35" s="274">
        <f>G35*H35*I35</f>
        <v/>
      </c>
      <c r="K35" s="274">
        <f>H35*I35</f>
        <v/>
      </c>
      <c r="L35" s="274" t="inlineStr">
        <is>
          <t>Kadrolu personelin yaklaşık %27'si (250 kişi) önlisans, lisans ve yüksek lisans mezunudur; bu oran teknik uzmanlık gerektiren büyük ölçekli operasyonlar için güçlü bir temel oluşturur.</t>
        </is>
      </c>
      <c r="M35" s="274" t="n">
        <v>4</v>
      </c>
      <c r="N35" s="274" t="inlineStr">
        <is>
          <t>Çalışanların %57'si ilkokul veya ortaokul mezunudur; bu düşük eğitim seviyesi, teknolojik dönüşüm ve karmaşık İSG süreçlerinin yönetimi açısından risk teşkil eder.</t>
        </is>
      </c>
      <c r="O35" s="275" t="n">
        <v>2</v>
      </c>
      <c r="P35" s="274" t="inlineStr">
        <is>
          <t>Lisans ve lisansüstü mezun oranı yaklaşık %28'dir; ayrıca 9 kişilik yüksek lisans kadrosuyla "akademik uzmanlık" derinliği en yüksek işletmedir.</t>
        </is>
      </c>
      <c r="Q35" s="274" t="n">
        <v>5</v>
      </c>
      <c r="R35" s="274">
        <f>100*(M35-1)/4</f>
        <v/>
      </c>
      <c r="S35" s="274">
        <f>100*(O35-1)/4</f>
        <v/>
      </c>
      <c r="T35" s="274">
        <f>100*(Q35-1)/4</f>
        <v/>
      </c>
      <c r="U35" s="274">
        <f>R35*J35</f>
        <v/>
      </c>
      <c r="V35" s="274">
        <f>R35*K35</f>
        <v/>
      </c>
      <c r="W35" s="274">
        <f>S35*$J35</f>
        <v/>
      </c>
      <c r="X35" s="274">
        <f>S35*K35</f>
        <v/>
      </c>
      <c r="Y35" s="274">
        <f>T35*$J35</f>
        <v/>
      </c>
      <c r="Z35" s="274">
        <f>T35*K35</f>
        <v/>
      </c>
      <c r="AA35" s="274">
        <f>R35*F35</f>
        <v/>
      </c>
      <c r="AB35" s="274">
        <f>R35*E35</f>
        <v/>
      </c>
      <c r="AC35" s="274">
        <f>S35*F35</f>
        <v/>
      </c>
      <c r="AD35" s="274">
        <f>S35*E35</f>
        <v/>
      </c>
      <c r="AE35" s="274">
        <f>T35*F35</f>
        <v/>
      </c>
      <c r="AF35" s="274">
        <f>T35*E35</f>
        <v/>
      </c>
      <c r="AG35" s="284">
        <f>R35*0.25*K35</f>
        <v/>
      </c>
      <c r="AH35" s="284">
        <f>K35*R35</f>
        <v/>
      </c>
      <c r="AI35" s="284">
        <f>S35*0.25*$K35</f>
        <v/>
      </c>
      <c r="AJ35" s="284">
        <f>S35*K35</f>
        <v/>
      </c>
      <c r="AK35" s="284">
        <f>T35*0.25*$K35</f>
        <v/>
      </c>
      <c r="AL35" s="284">
        <f>K35*T35</f>
        <v/>
      </c>
      <c r="AM35" s="284">
        <f>1/3</f>
        <v/>
      </c>
      <c r="AN35" s="274">
        <f>R35*I35*AM35*0.25</f>
        <v/>
      </c>
      <c r="AO35" s="274">
        <f>R35*I35*AM35</f>
        <v/>
      </c>
      <c r="AP35" s="274">
        <f>S35*I35*AM35*0.25</f>
        <v/>
      </c>
      <c r="AQ35" s="274">
        <f>S35*I35*AM35</f>
        <v/>
      </c>
      <c r="AR35" s="274">
        <f>T35*I35*AM35*0.25</f>
        <v/>
      </c>
      <c r="AS35" s="274">
        <f>T35*I35*AM35</f>
        <v/>
      </c>
      <c r="AT35" s="274">
        <f>1/9</f>
        <v/>
      </c>
      <c r="AU35" s="284">
        <f>AM35</f>
        <v/>
      </c>
      <c r="AV35" s="274">
        <f>R35*AT35*AU35*0.25</f>
        <v/>
      </c>
      <c r="AW35" s="274">
        <f>R35*AT35*AU35</f>
        <v/>
      </c>
      <c r="AX35" s="274">
        <f>S35*AT35*AU35*0.25</f>
        <v/>
      </c>
      <c r="AY35" s="274">
        <f>S35*AT35*AU35</f>
        <v/>
      </c>
      <c r="AZ35" s="274">
        <f>T35*AT35*AU35*0.25</f>
        <v/>
      </c>
      <c r="BA35" s="274">
        <f>T35*AT35*AU35</f>
        <v/>
      </c>
      <c r="BB35" s="274">
        <f>R35*K35*0.2</f>
        <v/>
      </c>
      <c r="BC35" s="274">
        <f>R35*K35</f>
        <v/>
      </c>
      <c r="BD35" s="274">
        <f>S35*K35*0.2</f>
        <v/>
      </c>
      <c r="BE35" s="274">
        <f>S35*K35</f>
        <v/>
      </c>
      <c r="BF35" s="288">
        <f>T35*K35*0.2</f>
        <v/>
      </c>
      <c r="BG35" s="308">
        <f>T35*K35</f>
        <v/>
      </c>
      <c r="BH35" s="308">
        <f>R35*K35*0.4</f>
        <v/>
      </c>
      <c r="BI35" s="308">
        <f>R35*K35</f>
        <v/>
      </c>
      <c r="BJ35" s="308">
        <f>S35*K35*0.4</f>
        <v/>
      </c>
      <c r="BK35" s="308">
        <f>S35*K35</f>
        <v/>
      </c>
      <c r="BL35" s="308">
        <f>T35*K35*0.4</f>
        <v/>
      </c>
      <c r="BM35" s="311">
        <f>T35*K35</f>
        <v/>
      </c>
      <c r="BN35" s="311">
        <f>R35*K35*0.2</f>
        <v/>
      </c>
      <c r="BO35" s="311">
        <f>K35*R35</f>
        <v/>
      </c>
      <c r="BP35" s="311">
        <f>S35*K35*0.2</f>
        <v/>
      </c>
      <c r="BQ35" s="311">
        <f>K35*S35</f>
        <v/>
      </c>
      <c r="BR35" s="311">
        <f>K35*T35*0.2</f>
        <v/>
      </c>
      <c r="BS35" s="270">
        <f>K35*T35</f>
        <v/>
      </c>
      <c r="BT35" s="270">
        <f>R35*K35*0.2</f>
        <v/>
      </c>
      <c r="BU35" s="270">
        <f>R35*K35</f>
        <v/>
      </c>
      <c r="BV35" s="270">
        <f>S35*K35*0.2</f>
        <v/>
      </c>
      <c r="BW35" s="270">
        <f>S35*K35</f>
        <v/>
      </c>
      <c r="BX35" s="270">
        <f>T35*K35*0.2</f>
        <v/>
      </c>
      <c r="BY35" s="270">
        <f>T35*K35</f>
        <v/>
      </c>
      <c r="BZ35" s="274">
        <f>R35*K35*0.33</f>
        <v/>
      </c>
      <c r="CA35" s="274">
        <f>R35*K35</f>
        <v/>
      </c>
      <c r="CB35" s="274">
        <f>S35*K35*0.33</f>
        <v/>
      </c>
      <c r="CC35" s="274">
        <f>S35*K35</f>
        <v/>
      </c>
      <c r="CD35" s="274">
        <f>T35*K35*0.33</f>
        <v/>
      </c>
      <c r="CE35" s="274">
        <f>T35*K35</f>
        <v/>
      </c>
    </row>
    <row r="36" ht="120" customFormat="1" customHeight="1" s="274">
      <c r="A36" s="274" t="n">
        <v>33</v>
      </c>
      <c r="B36" s="273" t="inlineStr">
        <is>
          <t>Cinsiyet</t>
        </is>
      </c>
      <c r="C36" s="273" t="inlineStr">
        <is>
          <t>Sosyal Eşitlik: Tarımda kadın işgücünün nitelikli ve kayıtlı istihdamı, uluslararası ESG raporlamalarında en yüksek puanı getiren kalemdir.</t>
        </is>
      </c>
      <c r="D36" s="274">
        <f>ESG_FO_Makale!$G$18</f>
        <v/>
      </c>
      <c r="E36" s="274" t="n">
        <v>0.0525</v>
      </c>
      <c r="F36" s="274">
        <f>D36*E36</f>
        <v/>
      </c>
      <c r="G36" s="274">
        <f>ESG_FO_AnaBlok!$G$18</f>
        <v/>
      </c>
      <c r="H36" s="274">
        <f>S_AltGruplar!F$15</f>
        <v/>
      </c>
      <c r="I36" s="274">
        <f>S_IsgucuIst!L27</f>
        <v/>
      </c>
      <c r="J36" s="274">
        <f>G36*H36*I36</f>
        <v/>
      </c>
      <c r="K36" s="274">
        <f>H36*I36</f>
        <v/>
      </c>
      <c r="L36" s="274" t="inlineStr">
        <is>
          <t>92kadın /3396erkek. Teknik ve idari kadroda kadın oranı düşük. Tüm işletmelerde kadın çalışan oranı %2-10 arasındadır; bu durum toplumsal cinsiyet eşitliği açısından zayıf bir performanstır.</t>
        </is>
      </c>
      <c r="M36" s="274" t="n">
        <v>2</v>
      </c>
      <c r="N36" s="274" t="inlineStr">
        <is>
          <t xml:space="preserve">42 kadın çalışanın bulunduğu ve kadın çalışan oranının yaklaşık %10,5 olduğu bildirilmiştir. </t>
        </is>
      </c>
      <c r="O36" s="275" t="n">
        <v>2</v>
      </c>
      <c r="P36" s="274" t="inlineStr">
        <is>
          <t>Benzer idari/teknik iş gücü yapısı; kadın istihdamı kısıtlı.</t>
        </is>
      </c>
      <c r="Q36" s="274" t="n">
        <v>2</v>
      </c>
      <c r="R36" s="274">
        <f>100*(M36-1)/4</f>
        <v/>
      </c>
      <c r="S36" s="274">
        <f>100*(O36-1)/4</f>
        <v/>
      </c>
      <c r="T36" s="274">
        <f>100*(Q36-1)/4</f>
        <v/>
      </c>
      <c r="U36" s="274">
        <f>R36*J36</f>
        <v/>
      </c>
      <c r="V36" s="274">
        <f>R36*K36</f>
        <v/>
      </c>
      <c r="W36" s="274">
        <f>S36*$J36</f>
        <v/>
      </c>
      <c r="X36" s="274">
        <f>S36*K36</f>
        <v/>
      </c>
      <c r="Y36" s="274">
        <f>T36*$J36</f>
        <v/>
      </c>
      <c r="Z36" s="274">
        <f>T36*K36</f>
        <v/>
      </c>
      <c r="AA36" s="274">
        <f>R36*F36</f>
        <v/>
      </c>
      <c r="AB36" s="274">
        <f>R36*E36</f>
        <v/>
      </c>
      <c r="AC36" s="274">
        <f>S36*F36</f>
        <v/>
      </c>
      <c r="AD36" s="274">
        <f>S36*E36</f>
        <v/>
      </c>
      <c r="AE36" s="274">
        <f>T36*F36</f>
        <v/>
      </c>
      <c r="AF36" s="274">
        <f>T36*E36</f>
        <v/>
      </c>
      <c r="AG36" s="284">
        <f>R36*0.25*K36</f>
        <v/>
      </c>
      <c r="AH36" s="284">
        <f>K36*R36</f>
        <v/>
      </c>
      <c r="AI36" s="284">
        <f>S36*0.25*$K36</f>
        <v/>
      </c>
      <c r="AJ36" s="284">
        <f>S36*K36</f>
        <v/>
      </c>
      <c r="AK36" s="284">
        <f>T36*0.25*$K36</f>
        <v/>
      </c>
      <c r="AL36" s="284">
        <f>K36*T36</f>
        <v/>
      </c>
      <c r="AM36" s="284">
        <f>1/3</f>
        <v/>
      </c>
      <c r="AN36" s="274">
        <f>R36*I36*AM36*0.25</f>
        <v/>
      </c>
      <c r="AO36" s="274">
        <f>R36*I36*AM36</f>
        <v/>
      </c>
      <c r="AP36" s="274">
        <f>S36*I36*AM36*0.25</f>
        <v/>
      </c>
      <c r="AQ36" s="274">
        <f>S36*I36*AM36</f>
        <v/>
      </c>
      <c r="AR36" s="274">
        <f>T36*I36*AM36*0.25</f>
        <v/>
      </c>
      <c r="AS36" s="274">
        <f>T36*I36*AM36</f>
        <v/>
      </c>
      <c r="AT36" s="274">
        <f>1/9</f>
        <v/>
      </c>
      <c r="AU36" s="284">
        <f>AM36</f>
        <v/>
      </c>
      <c r="AV36" s="274">
        <f>R36*AT36*AU36*0.25</f>
        <v/>
      </c>
      <c r="AW36" s="274">
        <f>R36*AT36*AU36</f>
        <v/>
      </c>
      <c r="AX36" s="274">
        <f>S36*AT36*AU36*0.25</f>
        <v/>
      </c>
      <c r="AY36" s="274">
        <f>S36*AT36*AU36</f>
        <v/>
      </c>
      <c r="AZ36" s="274">
        <f>T36*AT36*AU36*0.25</f>
        <v/>
      </c>
      <c r="BA36" s="274">
        <f>T36*AT36*AU36</f>
        <v/>
      </c>
      <c r="BB36" s="274">
        <f>R36*K36*0.2</f>
        <v/>
      </c>
      <c r="BC36" s="274">
        <f>R36*K36</f>
        <v/>
      </c>
      <c r="BD36" s="274">
        <f>S36*K36*0.2</f>
        <v/>
      </c>
      <c r="BE36" s="274">
        <f>S36*K36</f>
        <v/>
      </c>
      <c r="BF36" s="288">
        <f>T36*K36*0.2</f>
        <v/>
      </c>
      <c r="BG36" s="308">
        <f>T36*K36</f>
        <v/>
      </c>
      <c r="BH36" s="308">
        <f>R36*K36*0.4</f>
        <v/>
      </c>
      <c r="BI36" s="308">
        <f>R36*K36</f>
        <v/>
      </c>
      <c r="BJ36" s="308">
        <f>S36*K36*0.4</f>
        <v/>
      </c>
      <c r="BK36" s="308">
        <f>S36*K36</f>
        <v/>
      </c>
      <c r="BL36" s="308">
        <f>T36*K36*0.4</f>
        <v/>
      </c>
      <c r="BM36" s="311">
        <f>T36*K36</f>
        <v/>
      </c>
      <c r="BN36" s="311">
        <f>R36*K36*0.2</f>
        <v/>
      </c>
      <c r="BO36" s="311">
        <f>K36*R36</f>
        <v/>
      </c>
      <c r="BP36" s="311">
        <f>S36*K36*0.2</f>
        <v/>
      </c>
      <c r="BQ36" s="311">
        <f>K36*S36</f>
        <v/>
      </c>
      <c r="BR36" s="311">
        <f>K36*T36*0.2</f>
        <v/>
      </c>
      <c r="BS36" s="270">
        <f>K36*T36</f>
        <v/>
      </c>
      <c r="BT36" s="270">
        <f>R36*K36*0.2</f>
        <v/>
      </c>
      <c r="BU36" s="270">
        <f>R36*K36</f>
        <v/>
      </c>
      <c r="BV36" s="270">
        <f>S36*K36*0.2</f>
        <v/>
      </c>
      <c r="BW36" s="270">
        <f>S36*K36</f>
        <v/>
      </c>
      <c r="BX36" s="270">
        <f>T36*K36*0.2</f>
        <v/>
      </c>
      <c r="BY36" s="270">
        <f>T36*K36</f>
        <v/>
      </c>
      <c r="BZ36" s="274">
        <f>R36*K36*0.33</f>
        <v/>
      </c>
      <c r="CA36" s="274">
        <f>R36*K36</f>
        <v/>
      </c>
      <c r="CB36" s="274">
        <f>S36*K36*0.33</f>
        <v/>
      </c>
      <c r="CC36" s="274">
        <f>S36*K36</f>
        <v/>
      </c>
      <c r="CD36" s="274">
        <f>T36*K36*0.33</f>
        <v/>
      </c>
      <c r="CE36" s="274">
        <f>T36*K36</f>
        <v/>
      </c>
    </row>
    <row r="37" ht="105" customFormat="1" customHeight="1" s="274">
      <c r="A37" s="274" t="n">
        <v>34</v>
      </c>
      <c r="B37" s="273" t="inlineStr">
        <is>
          <t>Devir Daim Hızı</t>
        </is>
      </c>
      <c r="C37" s="273" t="inlineStr">
        <is>
          <t>Kurumsal Bağlılık: Personelin kurumdan ayrılma hızı; çalışma barışı ve personel memnuniyetinin en somut matematiksel çıktısıdır.</t>
        </is>
      </c>
      <c r="D37" s="274">
        <f>ESG_FO_Makale!$G$18</f>
        <v/>
      </c>
      <c r="E37" s="274" t="n">
        <v>0.035</v>
      </c>
      <c r="F37" s="274">
        <f>D37*E37</f>
        <v/>
      </c>
      <c r="G37" s="274">
        <f>ESG_FO_AnaBlok!$G$18</f>
        <v/>
      </c>
      <c r="H37" s="274">
        <f>S_AltGruplar!F$15</f>
        <v/>
      </c>
      <c r="I37" s="274">
        <f>S_IsgucuIst!L28</f>
        <v/>
      </c>
      <c r="J37" s="274">
        <f>G37*H37*I37</f>
        <v/>
      </c>
      <c r="K37" s="274">
        <f>H37*I37</f>
        <v/>
      </c>
      <c r="L37" s="274" t="inlineStr">
        <is>
          <t>Kadrolu ve sözleşmeli 922 personel içinde 115 ayrılma (40'ı istifa/tayin) mevcuttur; devir hızı diğer işletmelere göre daha yüksektir.</t>
        </is>
      </c>
      <c r="M37" s="274" t="n">
        <v>3</v>
      </c>
      <c r="N37" s="274" t="inlineStr">
        <is>
          <t>399 personel içinde beş yıllık dönemde 10 istifa gerçekleştiği bildirilmiştir. Bu veri, söz konusu dönem ve personel grubu bakımından düşük ayrılma düzeyine işaret etmektedir.</t>
        </is>
      </c>
      <c r="O37" s="275" t="n">
        <v>5</v>
      </c>
      <c r="P37" s="274" t="inlineStr">
        <is>
          <t>151 kadrolu personel içinde beş yıllık dönemde 1 ayrılma gerçekleştiği bildirilmiştir. Bu durum kadrolu personel bakımından düşük hareketliliğe işaret etmektedir.</t>
        </is>
      </c>
      <c r="Q37" s="274" t="n">
        <v>5</v>
      </c>
      <c r="R37" s="274">
        <f>100*(M37-1)/4</f>
        <v/>
      </c>
      <c r="S37" s="274">
        <f>100*(O37-1)/4</f>
        <v/>
      </c>
      <c r="T37" s="274">
        <f>100*(Q37-1)/4</f>
        <v/>
      </c>
      <c r="U37" s="274">
        <f>R37*J37</f>
        <v/>
      </c>
      <c r="V37" s="274">
        <f>R37*K37</f>
        <v/>
      </c>
      <c r="W37" s="274">
        <f>S37*$J37</f>
        <v/>
      </c>
      <c r="X37" s="274">
        <f>S37*K37</f>
        <v/>
      </c>
      <c r="Y37" s="274">
        <f>T37*$J37</f>
        <v/>
      </c>
      <c r="Z37" s="274">
        <f>T37*K37</f>
        <v/>
      </c>
      <c r="AA37" s="274">
        <f>R37*F37</f>
        <v/>
      </c>
      <c r="AB37" s="274">
        <f>R37*E37</f>
        <v/>
      </c>
      <c r="AC37" s="274">
        <f>S37*F37</f>
        <v/>
      </c>
      <c r="AD37" s="274">
        <f>S37*E37</f>
        <v/>
      </c>
      <c r="AE37" s="274">
        <f>T37*F37</f>
        <v/>
      </c>
      <c r="AF37" s="274">
        <f>T37*E37</f>
        <v/>
      </c>
      <c r="AG37" s="284">
        <f>R37*0.25*K37</f>
        <v/>
      </c>
      <c r="AH37" s="284">
        <f>K37*R37</f>
        <v/>
      </c>
      <c r="AI37" s="284">
        <f>S37*0.25*$K37</f>
        <v/>
      </c>
      <c r="AJ37" s="284">
        <f>S37*K37</f>
        <v/>
      </c>
      <c r="AK37" s="284">
        <f>T37*0.25*$K37</f>
        <v/>
      </c>
      <c r="AL37" s="284">
        <f>K37*T37</f>
        <v/>
      </c>
      <c r="AM37" s="284">
        <f>1/3</f>
        <v/>
      </c>
      <c r="AN37" s="274">
        <f>R37*I37*AM37*0.25</f>
        <v/>
      </c>
      <c r="AO37" s="274">
        <f>R37*I37*AM37</f>
        <v/>
      </c>
      <c r="AP37" s="274">
        <f>S37*I37*AM37*0.25</f>
        <v/>
      </c>
      <c r="AQ37" s="274">
        <f>S37*I37*AM37</f>
        <v/>
      </c>
      <c r="AR37" s="274">
        <f>T37*I37*AM37*0.25</f>
        <v/>
      </c>
      <c r="AS37" s="274">
        <f>T37*I37*AM37</f>
        <v/>
      </c>
      <c r="AT37" s="274">
        <f>1/9</f>
        <v/>
      </c>
      <c r="AU37" s="284">
        <f>AM37</f>
        <v/>
      </c>
      <c r="AV37" s="274">
        <f>R37*AT37*AU37*0.25</f>
        <v/>
      </c>
      <c r="AW37" s="274">
        <f>R37*AT37*AU37</f>
        <v/>
      </c>
      <c r="AX37" s="274">
        <f>S37*AT37*AU37*0.25</f>
        <v/>
      </c>
      <c r="AY37" s="274">
        <f>S37*AT37*AU37</f>
        <v/>
      </c>
      <c r="AZ37" s="274">
        <f>T37*AT37*AU37*0.25</f>
        <v/>
      </c>
      <c r="BA37" s="274">
        <f>T37*AT37*AU37</f>
        <v/>
      </c>
      <c r="BB37" s="274">
        <f>R37*K37*0.2</f>
        <v/>
      </c>
      <c r="BC37" s="274">
        <f>R37*K37</f>
        <v/>
      </c>
      <c r="BD37" s="274">
        <f>S37*K37*0.2</f>
        <v/>
      </c>
      <c r="BE37" s="274">
        <f>S37*K37</f>
        <v/>
      </c>
      <c r="BF37" s="288">
        <f>T37*K37*0.2</f>
        <v/>
      </c>
      <c r="BG37" s="308">
        <f>T37*K37</f>
        <v/>
      </c>
      <c r="BH37" s="308">
        <f>R37*K37*0.4</f>
        <v/>
      </c>
      <c r="BI37" s="308">
        <f>R37*K37</f>
        <v/>
      </c>
      <c r="BJ37" s="308">
        <f>S37*K37*0.4</f>
        <v/>
      </c>
      <c r="BK37" s="308">
        <f>S37*K37</f>
        <v/>
      </c>
      <c r="BL37" s="308">
        <f>T37*K37*0.4</f>
        <v/>
      </c>
      <c r="BM37" s="311">
        <f>T37*K37</f>
        <v/>
      </c>
      <c r="BN37" s="311">
        <f>R37*K37*0.2</f>
        <v/>
      </c>
      <c r="BO37" s="311">
        <f>K37*R37</f>
        <v/>
      </c>
      <c r="BP37" s="311">
        <f>S37*K37*0.2</f>
        <v/>
      </c>
      <c r="BQ37" s="311">
        <f>K37*S37</f>
        <v/>
      </c>
      <c r="BR37" s="311">
        <f>K37*T37*0.2</f>
        <v/>
      </c>
      <c r="BS37" s="270">
        <f>K37*T37</f>
        <v/>
      </c>
      <c r="BT37" s="270">
        <f>R37*K37*0.2</f>
        <v/>
      </c>
      <c r="BU37" s="270">
        <f>R37*K37</f>
        <v/>
      </c>
      <c r="BV37" s="270">
        <f>S37*K37*0.2</f>
        <v/>
      </c>
      <c r="BW37" s="270">
        <f>S37*K37</f>
        <v/>
      </c>
      <c r="BX37" s="270">
        <f>T37*K37*0.2</f>
        <v/>
      </c>
      <c r="BY37" s="270">
        <f>T37*K37</f>
        <v/>
      </c>
      <c r="BZ37" s="274">
        <f>R37*K37*0.33</f>
        <v/>
      </c>
      <c r="CA37" s="274">
        <f>R37*K37</f>
        <v/>
      </c>
      <c r="CB37" s="274">
        <f>S37*K37*0.33</f>
        <v/>
      </c>
      <c r="CC37" s="274">
        <f>S37*K37</f>
        <v/>
      </c>
      <c r="CD37" s="274">
        <f>T37*K37*0.33</f>
        <v/>
      </c>
      <c r="CE37" s="274">
        <f>T37*K37</f>
        <v/>
      </c>
    </row>
    <row r="38" ht="102" customFormat="1" customHeight="1" s="274">
      <c r="A38" s="274" t="n">
        <v>35</v>
      </c>
      <c r="B38" s="273" t="inlineStr">
        <is>
          <t>Eski Hükümlü/Engelli personel</t>
        </is>
      </c>
      <c r="C38" s="273" t="inlineStr">
        <is>
          <t>Yasal &amp; Sosyal Uyumluluk: Dezavantajlı grupların topluma kazandırılması misyonudur. TİGEM gibi kurumların yasal zorunluluğu ve etik duruşudur.</t>
        </is>
      </c>
      <c r="D38" s="274">
        <f>ESG_FO_Makale!$G$18</f>
        <v/>
      </c>
      <c r="E38" s="274" t="n">
        <v>0.035</v>
      </c>
      <c r="F38" s="274">
        <f>D38*E38</f>
        <v/>
      </c>
      <c r="G38" s="274">
        <f>ESG_FO_AnaBlok!$G$18</f>
        <v/>
      </c>
      <c r="H38" s="274">
        <f>S_AltGruplar!F$15</f>
        <v/>
      </c>
      <c r="I38" s="274">
        <f>S_IsgucuIst!L29</f>
        <v/>
      </c>
      <c r="J38" s="274">
        <f>G38*H38*I38</f>
        <v/>
      </c>
      <c r="K38" s="274">
        <f>H38*I38</f>
        <v/>
      </c>
      <c r="L38" s="274" t="inlineStr">
        <is>
          <t>18 engelli 12 eski hükümlü personelle yasal ve sosyal sorumluluğunu en geniş ölçekte yerine getirmektedir.</t>
        </is>
      </c>
      <c r="M38" s="274" t="n">
        <v>5</v>
      </c>
      <c r="N38" s="274" t="inlineStr">
        <is>
          <t>9 Engelli personel bulunmakta olup eski hükümlü personel bulunmamaktadır</t>
        </is>
      </c>
      <c r="O38" s="275" t="n">
        <v>4</v>
      </c>
      <c r="P38" s="274" t="inlineStr">
        <is>
          <t>4 Engelli personel istihdam edilmektedir; eski hükümlü personel bulunmamaktadır.</t>
        </is>
      </c>
      <c r="Q38" s="274" t="n">
        <v>4</v>
      </c>
      <c r="R38" s="274">
        <f>100*(M38-1)/4</f>
        <v/>
      </c>
      <c r="S38" s="274">
        <f>100*(O38-1)/4</f>
        <v/>
      </c>
      <c r="T38" s="274">
        <f>100*(Q38-1)/4</f>
        <v/>
      </c>
      <c r="U38" s="274">
        <f>R38*J38</f>
        <v/>
      </c>
      <c r="V38" s="274">
        <f>R38*K38</f>
        <v/>
      </c>
      <c r="W38" s="274">
        <f>S38*$J38</f>
        <v/>
      </c>
      <c r="X38" s="274">
        <f>S38*K38</f>
        <v/>
      </c>
      <c r="Y38" s="274">
        <f>T38*$J38</f>
        <v/>
      </c>
      <c r="Z38" s="274">
        <f>T38*K38</f>
        <v/>
      </c>
      <c r="AA38" s="274">
        <f>R38*F38</f>
        <v/>
      </c>
      <c r="AB38" s="274">
        <f>R38*E38</f>
        <v/>
      </c>
      <c r="AC38" s="274">
        <f>S38*F38</f>
        <v/>
      </c>
      <c r="AD38" s="274">
        <f>S38*E38</f>
        <v/>
      </c>
      <c r="AE38" s="274">
        <f>T38*F38</f>
        <v/>
      </c>
      <c r="AF38" s="274">
        <f>T38*E38</f>
        <v/>
      </c>
      <c r="AG38" s="284">
        <f>R38*0.25*K38</f>
        <v/>
      </c>
      <c r="AH38" s="284">
        <f>K38*R38</f>
        <v/>
      </c>
      <c r="AI38" s="284">
        <f>S38*0.25*$K38</f>
        <v/>
      </c>
      <c r="AJ38" s="284">
        <f>S38*K38</f>
        <v/>
      </c>
      <c r="AK38" s="284">
        <f>T38*0.25*$K38</f>
        <v/>
      </c>
      <c r="AL38" s="284">
        <f>K38*T38</f>
        <v/>
      </c>
      <c r="AM38" s="284">
        <f>1/3</f>
        <v/>
      </c>
      <c r="AN38" s="274">
        <f>R38*I38*AM38*0.25</f>
        <v/>
      </c>
      <c r="AO38" s="274">
        <f>R38*I38*AM38</f>
        <v/>
      </c>
      <c r="AP38" s="274">
        <f>S38*I38*AM38*0.25</f>
        <v/>
      </c>
      <c r="AQ38" s="274">
        <f>S38*I38*AM38</f>
        <v/>
      </c>
      <c r="AR38" s="274">
        <f>T38*I38*AM38*0.25</f>
        <v/>
      </c>
      <c r="AS38" s="274">
        <f>T38*I38*AM38</f>
        <v/>
      </c>
      <c r="AT38" s="274">
        <f>1/9</f>
        <v/>
      </c>
      <c r="AU38" s="284">
        <f>AM38</f>
        <v/>
      </c>
      <c r="AV38" s="274">
        <f>R38*AT38*AU38*0.25</f>
        <v/>
      </c>
      <c r="AW38" s="274">
        <f>R38*AT38*AU38</f>
        <v/>
      </c>
      <c r="AX38" s="274">
        <f>S38*AT38*AU38*0.25</f>
        <v/>
      </c>
      <c r="AY38" s="274">
        <f>S38*AT38*AU38</f>
        <v/>
      </c>
      <c r="AZ38" s="274">
        <f>T38*AT38*AU38*0.25</f>
        <v/>
      </c>
      <c r="BA38" s="274">
        <f>T38*AT38*AU38</f>
        <v/>
      </c>
      <c r="BB38" s="274">
        <f>R38*K38*0.2</f>
        <v/>
      </c>
      <c r="BC38" s="274">
        <f>R38*K38</f>
        <v/>
      </c>
      <c r="BD38" s="274">
        <f>S38*K38*0.2</f>
        <v/>
      </c>
      <c r="BE38" s="274">
        <f>S38*K38</f>
        <v/>
      </c>
      <c r="BF38" s="288">
        <f>T38*K38*0.2</f>
        <v/>
      </c>
      <c r="BG38" s="308">
        <f>T38*K38</f>
        <v/>
      </c>
      <c r="BH38" s="308">
        <f>R38*K38*0.4</f>
        <v/>
      </c>
      <c r="BI38" s="308">
        <f>R38*K38</f>
        <v/>
      </c>
      <c r="BJ38" s="308">
        <f>S38*K38*0.4</f>
        <v/>
      </c>
      <c r="BK38" s="308">
        <f>S38*K38</f>
        <v/>
      </c>
      <c r="BL38" s="308">
        <f>T38*K38*0.4</f>
        <v/>
      </c>
      <c r="BM38" s="311">
        <f>T38*K38</f>
        <v/>
      </c>
      <c r="BN38" s="311">
        <f>R38*K38*0.2</f>
        <v/>
      </c>
      <c r="BO38" s="311">
        <f>K38*R38</f>
        <v/>
      </c>
      <c r="BP38" s="311">
        <f>S38*K38*0.2</f>
        <v/>
      </c>
      <c r="BQ38" s="311">
        <f>K38*S38</f>
        <v/>
      </c>
      <c r="BR38" s="311">
        <f>K38*T38*0.2</f>
        <v/>
      </c>
      <c r="BS38" s="270">
        <f>K38*T38</f>
        <v/>
      </c>
      <c r="BT38" s="270">
        <f>R38*K38*0.2</f>
        <v/>
      </c>
      <c r="BU38" s="270">
        <f>R38*K38</f>
        <v/>
      </c>
      <c r="BV38" s="270">
        <f>S38*K38*0.2</f>
        <v/>
      </c>
      <c r="BW38" s="270">
        <f>S38*K38</f>
        <v/>
      </c>
      <c r="BX38" s="270">
        <f>T38*K38*0.2</f>
        <v/>
      </c>
      <c r="BY38" s="270">
        <f>T38*K38</f>
        <v/>
      </c>
      <c r="BZ38" s="274">
        <f>R38*K38*0.33</f>
        <v/>
      </c>
      <c r="CA38" s="274">
        <f>R38*K38</f>
        <v/>
      </c>
      <c r="CB38" s="274">
        <f>S38*K38*0.33</f>
        <v/>
      </c>
      <c r="CC38" s="274">
        <f>S38*K38</f>
        <v/>
      </c>
      <c r="CD38" s="274">
        <f>T38*K38*0.33</f>
        <v/>
      </c>
      <c r="CE38" s="274">
        <f>T38*K38</f>
        <v/>
      </c>
    </row>
    <row r="39" ht="75" customFormat="1" customHeight="1" s="274">
      <c r="A39" s="274" t="n">
        <v>36</v>
      </c>
      <c r="B39" s="273" t="inlineStr">
        <is>
          <t>Ortalama fazla mesai süreleri</t>
        </is>
      </c>
      <c r="C39" s="273" t="inlineStr">
        <is>
          <t>İş-Yaşam Dengesi: Hasat dönemlerinde artan mesailerin personel yorgunluğu ve hata payı üzerindeki etkisidir.</t>
        </is>
      </c>
      <c r="D39" s="274">
        <f>ESG_FO_Makale!$G$18</f>
        <v/>
      </c>
      <c r="E39" s="274" t="n">
        <v>0.02</v>
      </c>
      <c r="F39" s="274">
        <f>D39*E39</f>
        <v/>
      </c>
      <c r="G39" s="274">
        <f>ESG_FO_AnaBlok!$G$18</f>
        <v/>
      </c>
      <c r="H39" s="274">
        <f>S_AltGruplar!F$16</f>
        <v/>
      </c>
      <c r="I39" s="274">
        <f>S_CalismaKos!K20</f>
        <v/>
      </c>
      <c r="J39" s="274">
        <f>G39*H39*I39</f>
        <v/>
      </c>
      <c r="K39" s="274">
        <f>H39*I39</f>
        <v/>
      </c>
      <c r="L39" s="274" t="inlineStr">
        <is>
          <t>Devasa üretim; sezonluk fazla mesai kaçınılmaz; veriler net elde edilemedi</t>
        </is>
      </c>
      <c r="M39" s="274" t="n">
        <v>2</v>
      </c>
      <c r="N39" s="285" t="inlineStr">
        <is>
          <t>Yıllık 60 saat (aylık ortalama 5 saat), yasal sınırların altındadır.</t>
        </is>
      </c>
      <c r="O39" s="275" t="n">
        <v>3</v>
      </c>
      <c r="P39" s="274" t="inlineStr">
        <is>
          <t>Üç işletme arasında en düşük fazla mesai süresine sahiptir; bu durum personel verimliliği ve iş-yaşam dengesi açısından en iyi performansı gösterir.</t>
        </is>
      </c>
      <c r="Q39" s="274" t="n">
        <v>4</v>
      </c>
      <c r="R39" s="274">
        <f>100*(M39-1)/4</f>
        <v/>
      </c>
      <c r="S39" s="274">
        <f>100*(O39-1)/4</f>
        <v/>
      </c>
      <c r="T39" s="274">
        <f>100*(Q39-1)/4</f>
        <v/>
      </c>
      <c r="U39" s="274">
        <f>R39*J39</f>
        <v/>
      </c>
      <c r="V39" s="274">
        <f>R39*K39</f>
        <v/>
      </c>
      <c r="W39" s="274">
        <f>S39*$J39</f>
        <v/>
      </c>
      <c r="X39" s="274">
        <f>S39*K39</f>
        <v/>
      </c>
      <c r="Y39" s="274">
        <f>T39*$J39</f>
        <v/>
      </c>
      <c r="Z39" s="274">
        <f>T39*K39</f>
        <v/>
      </c>
      <c r="AA39" s="274">
        <f>R39*F39</f>
        <v/>
      </c>
      <c r="AB39" s="274">
        <f>R39*E39</f>
        <v/>
      </c>
      <c r="AC39" s="274">
        <f>S39*F39</f>
        <v/>
      </c>
      <c r="AD39" s="274">
        <f>S39*E39</f>
        <v/>
      </c>
      <c r="AE39" s="274">
        <f>T39*F39</f>
        <v/>
      </c>
      <c r="AF39" s="274">
        <f>T39*E39</f>
        <v/>
      </c>
      <c r="AG39" s="284">
        <f>R39*0.25*K39</f>
        <v/>
      </c>
      <c r="AH39" s="284">
        <f>K39*R39</f>
        <v/>
      </c>
      <c r="AI39" s="284">
        <f>S39*0.25*$K39</f>
        <v/>
      </c>
      <c r="AJ39" s="284">
        <f>S39*K39</f>
        <v/>
      </c>
      <c r="AK39" s="284">
        <f>T39*0.25*$K39</f>
        <v/>
      </c>
      <c r="AL39" s="284">
        <f>K39*T39</f>
        <v/>
      </c>
      <c r="AM39" s="284">
        <f>1/3</f>
        <v/>
      </c>
      <c r="AN39" s="274">
        <f>R39*I39*AM39*0.25</f>
        <v/>
      </c>
      <c r="AO39" s="274">
        <f>R39*I39*AM39</f>
        <v/>
      </c>
      <c r="AP39" s="274">
        <f>S39*I39*AM39*0.25</f>
        <v/>
      </c>
      <c r="AQ39" s="274">
        <f>S39*I39*AM39</f>
        <v/>
      </c>
      <c r="AR39" s="274">
        <f>T39*I39*AM39*0.25</f>
        <v/>
      </c>
      <c r="AS39" s="274">
        <f>T39*I39*AM39</f>
        <v/>
      </c>
      <c r="AT39" s="274">
        <f>1/8</f>
        <v/>
      </c>
      <c r="AU39" s="284">
        <f>AM39</f>
        <v/>
      </c>
      <c r="AV39" s="274">
        <f>R39*AT39*AU39*0.25</f>
        <v/>
      </c>
      <c r="AW39" s="274">
        <f>R39*AT39*AU39</f>
        <v/>
      </c>
      <c r="AX39" s="274">
        <f>S39*AT39*AU39*0.25</f>
        <v/>
      </c>
      <c r="AY39" s="274">
        <f>S39*AT39*AU39</f>
        <v/>
      </c>
      <c r="AZ39" s="274">
        <f>T39*AT39*AU39*0.25</f>
        <v/>
      </c>
      <c r="BA39" s="274">
        <f>T39*AT39*AU39</f>
        <v/>
      </c>
      <c r="BB39" s="274">
        <f>R39*K39*0.2</f>
        <v/>
      </c>
      <c r="BC39" s="274">
        <f>R39*K39</f>
        <v/>
      </c>
      <c r="BD39" s="274">
        <f>S39*K39*0.2</f>
        <v/>
      </c>
      <c r="BE39" s="274">
        <f>S39*K39</f>
        <v/>
      </c>
      <c r="BF39" s="288">
        <f>T39*K39*0.2</f>
        <v/>
      </c>
      <c r="BG39" s="308">
        <f>T39*K39</f>
        <v/>
      </c>
      <c r="BH39" s="308">
        <f>R39*K39*0.4</f>
        <v/>
      </c>
      <c r="BI39" s="308">
        <f>R39*K39</f>
        <v/>
      </c>
      <c r="BJ39" s="308">
        <f>S39*K39*0.4</f>
        <v/>
      </c>
      <c r="BK39" s="308">
        <f>S39*K39</f>
        <v/>
      </c>
      <c r="BL39" s="308">
        <f>T39*K39*0.4</f>
        <v/>
      </c>
      <c r="BM39" s="311">
        <f>T39*K39</f>
        <v/>
      </c>
      <c r="BN39" s="311">
        <f>R39*K39*0.2</f>
        <v/>
      </c>
      <c r="BO39" s="311">
        <f>K39*R39</f>
        <v/>
      </c>
      <c r="BP39" s="311">
        <f>S39*K39*0.2</f>
        <v/>
      </c>
      <c r="BQ39" s="311">
        <f>K39*S39</f>
        <v/>
      </c>
      <c r="BR39" s="311">
        <f>K39*T39*0.2</f>
        <v/>
      </c>
      <c r="BS39" s="270">
        <f>K39*T39</f>
        <v/>
      </c>
      <c r="BT39" s="270">
        <f>R39*K39*0.2</f>
        <v/>
      </c>
      <c r="BU39" s="270">
        <f>R39*K39</f>
        <v/>
      </c>
      <c r="BV39" s="270">
        <f>S39*K39*0.2</f>
        <v/>
      </c>
      <c r="BW39" s="270">
        <f>S39*K39</f>
        <v/>
      </c>
      <c r="BX39" s="270">
        <f>T39*K39*0.2</f>
        <v/>
      </c>
      <c r="BY39" s="270">
        <f>T39*K39</f>
        <v/>
      </c>
      <c r="BZ39" s="274">
        <f>R39*K39*0.33</f>
        <v/>
      </c>
      <c r="CA39" s="274">
        <f>R39*K39</f>
        <v/>
      </c>
      <c r="CB39" s="274">
        <f>S39*K39*0.33</f>
        <v/>
      </c>
      <c r="CC39" s="274">
        <f>S39*K39</f>
        <v/>
      </c>
      <c r="CD39" s="274">
        <f>T39*K39*0.33</f>
        <v/>
      </c>
      <c r="CE39" s="274">
        <f>T39*K39</f>
        <v/>
      </c>
    </row>
    <row r="40" ht="89.25" customFormat="1" customHeight="1" s="274">
      <c r="A40" s="274" t="n">
        <v>37</v>
      </c>
      <c r="B40" s="273" t="inlineStr">
        <is>
          <t>Stajyer sayısı</t>
        </is>
      </c>
      <c r="C40" s="273" t="inlineStr">
        <is>
          <t>Sosyal Katkı: Kurumun sektörel eğitime ve genç yeteneklere sağladığı kapıdır; operasyonel riskten ziyade "toplumsal fayda" odaklıdır.</t>
        </is>
      </c>
      <c r="D40" s="274">
        <f>ESG_FO_Makale!$G$18</f>
        <v/>
      </c>
      <c r="E40" s="274" t="n">
        <v>0.02</v>
      </c>
      <c r="F40" s="274">
        <f>D40*E40</f>
        <v/>
      </c>
      <c r="G40" s="274">
        <f>ESG_FO_AnaBlok!$G$18</f>
        <v/>
      </c>
      <c r="H40" s="274">
        <f>S_AltGruplar!F$16</f>
        <v/>
      </c>
      <c r="I40" s="274">
        <f>S_CalismaKos!K21</f>
        <v/>
      </c>
      <c r="J40" s="274">
        <f>G40*H40*I40</f>
        <v/>
      </c>
      <c r="K40" s="274">
        <f>H40*I40</f>
        <v/>
      </c>
      <c r="L40" s="274" t="inlineStr">
        <is>
          <t>Stajyer öğrenci kabulü e-devlet sistemi üzerinden devam ettirilmektedir. Konuya dair istatistiki bilgiye ulaşılamadı.</t>
        </is>
      </c>
      <c r="M40" s="274" t="n">
        <v>3</v>
      </c>
      <c r="N40" s="274" t="inlineStr">
        <is>
          <t>Stajyer öğrenci kabulü e-devlet sistemi üzerinden devam ettirilmektedir. Konuya dair istatistiki bilgiye ulaşılamadı.</t>
        </is>
      </c>
      <c r="O40" s="273" t="n">
        <v>3</v>
      </c>
      <c r="P40" s="274" t="inlineStr">
        <is>
          <t>Stajyer öğrenci kabulü e-devlet sistemi üzerinden devam ettirilmektedir. Konuya dair istatistiki bilgiye ulaşılamadı.</t>
        </is>
      </c>
      <c r="Q40" s="274" t="n">
        <v>3</v>
      </c>
      <c r="R40" s="274">
        <f>100*(M40-1)/4</f>
        <v/>
      </c>
      <c r="S40" s="274">
        <f>100*(O40-1)/4</f>
        <v/>
      </c>
      <c r="T40" s="274">
        <f>100*(Q40-1)/4</f>
        <v/>
      </c>
      <c r="U40" s="274">
        <f>R40*J40</f>
        <v/>
      </c>
      <c r="V40" s="274">
        <f>R40*K40</f>
        <v/>
      </c>
      <c r="W40" s="274">
        <f>S40*$J40</f>
        <v/>
      </c>
      <c r="X40" s="274">
        <f>S40*K40</f>
        <v/>
      </c>
      <c r="Y40" s="274">
        <f>T40*$J40</f>
        <v/>
      </c>
      <c r="Z40" s="274">
        <f>T40*K40</f>
        <v/>
      </c>
      <c r="AA40" s="274">
        <f>R40*F40</f>
        <v/>
      </c>
      <c r="AB40" s="274">
        <f>R40*E40</f>
        <v/>
      </c>
      <c r="AC40" s="274">
        <f>S40*F40</f>
        <v/>
      </c>
      <c r="AD40" s="274">
        <f>S40*E40</f>
        <v/>
      </c>
      <c r="AE40" s="274">
        <f>T40*F40</f>
        <v/>
      </c>
      <c r="AF40" s="274">
        <f>T40*E40</f>
        <v/>
      </c>
      <c r="AG40" s="284">
        <f>R40*0.25*K40</f>
        <v/>
      </c>
      <c r="AH40" s="284">
        <f>K40*R40</f>
        <v/>
      </c>
      <c r="AI40" s="284">
        <f>S40*0.25*$K40</f>
        <v/>
      </c>
      <c r="AJ40" s="284">
        <f>S40*K40</f>
        <v/>
      </c>
      <c r="AK40" s="284">
        <f>T40*0.25*$K40</f>
        <v/>
      </c>
      <c r="AL40" s="284">
        <f>K40*T40</f>
        <v/>
      </c>
      <c r="AM40" s="284">
        <f>1/3</f>
        <v/>
      </c>
      <c r="AN40" s="274">
        <f>R40*I40*AM40*0.25</f>
        <v/>
      </c>
      <c r="AO40" s="274">
        <f>R40*I40*AM40</f>
        <v/>
      </c>
      <c r="AP40" s="274">
        <f>S40*I40*AM40*0.25</f>
        <v/>
      </c>
      <c r="AQ40" s="274">
        <f>S40*I40*AM40</f>
        <v/>
      </c>
      <c r="AR40" s="274">
        <f>T40*I40*AM40*0.25</f>
        <v/>
      </c>
      <c r="AS40" s="274">
        <f>T40*I40*AM40</f>
        <v/>
      </c>
      <c r="AT40" s="274">
        <f>1/8</f>
        <v/>
      </c>
      <c r="AU40" s="284">
        <f>AM40</f>
        <v/>
      </c>
      <c r="AV40" s="274">
        <f>R40*AT40*AU40*0.25</f>
        <v/>
      </c>
      <c r="AW40" s="274">
        <f>R40*AT40*AU40</f>
        <v/>
      </c>
      <c r="AX40" s="274">
        <f>S40*AT40*AU40*0.25</f>
        <v/>
      </c>
      <c r="AY40" s="274">
        <f>S40*AT40*AU40</f>
        <v/>
      </c>
      <c r="AZ40" s="274">
        <f>T40*AT40*AU40*0.25</f>
        <v/>
      </c>
      <c r="BA40" s="274">
        <f>T40*AT40*AU40</f>
        <v/>
      </c>
      <c r="BB40" s="274">
        <f>R40*K40*0.2</f>
        <v/>
      </c>
      <c r="BC40" s="274">
        <f>R40*K40</f>
        <v/>
      </c>
      <c r="BD40" s="274">
        <f>S40*K40*0.2</f>
        <v/>
      </c>
      <c r="BE40" s="274">
        <f>S40*K40</f>
        <v/>
      </c>
      <c r="BF40" s="288">
        <f>T40*K40*0.2</f>
        <v/>
      </c>
      <c r="BG40" s="308">
        <f>T40*K40</f>
        <v/>
      </c>
      <c r="BH40" s="308">
        <f>R40*K40*0.4</f>
        <v/>
      </c>
      <c r="BI40" s="308">
        <f>R40*K40</f>
        <v/>
      </c>
      <c r="BJ40" s="308">
        <f>S40*K40*0.4</f>
        <v/>
      </c>
      <c r="BK40" s="308">
        <f>S40*K40</f>
        <v/>
      </c>
      <c r="BL40" s="308">
        <f>T40*K40*0.4</f>
        <v/>
      </c>
      <c r="BM40" s="311">
        <f>T40*K40</f>
        <v/>
      </c>
      <c r="BN40" s="311">
        <f>R40*K40*0.2</f>
        <v/>
      </c>
      <c r="BO40" s="311">
        <f>K40*R40</f>
        <v/>
      </c>
      <c r="BP40" s="311">
        <f>S40*K40*0.2</f>
        <v/>
      </c>
      <c r="BQ40" s="311">
        <f>K40*S40</f>
        <v/>
      </c>
      <c r="BR40" s="311">
        <f>K40*T40*0.2</f>
        <v/>
      </c>
      <c r="BS40" s="270">
        <f>K40*T40</f>
        <v/>
      </c>
      <c r="BT40" s="270">
        <f>R40*K40*0.2</f>
        <v/>
      </c>
      <c r="BU40" s="270">
        <f>R40*K40</f>
        <v/>
      </c>
      <c r="BV40" s="270">
        <f>S40*K40*0.2</f>
        <v/>
      </c>
      <c r="BW40" s="270">
        <f>S40*K40</f>
        <v/>
      </c>
      <c r="BX40" s="270">
        <f>T40*K40*0.2</f>
        <v/>
      </c>
      <c r="BY40" s="270">
        <f>T40*K40</f>
        <v/>
      </c>
      <c r="BZ40" s="274">
        <f>R40*K40*0.33</f>
        <v/>
      </c>
      <c r="CA40" s="274">
        <f>R40*K40</f>
        <v/>
      </c>
      <c r="CB40" s="274">
        <f>S40*K40*0.33</f>
        <v/>
      </c>
      <c r="CC40" s="274">
        <f>S40*K40</f>
        <v/>
      </c>
      <c r="CD40" s="274">
        <f>T40*K40*0.33</f>
        <v/>
      </c>
      <c r="CE40" s="274">
        <f>T40*K40</f>
        <v/>
      </c>
    </row>
    <row r="41" ht="135" customFormat="1" customHeight="1" s="274">
      <c r="A41" s="274" t="n">
        <v>38</v>
      </c>
      <c r="B41" s="273" t="inlineStr">
        <is>
          <t>Çalışanlar tarafından açılan davalar</t>
        </is>
      </c>
      <c r="C41" s="273" t="inlineStr">
        <is>
          <t>Hukuki &amp; Etik Uyumluluk: Kurum içi çalışma barışının ve hak ihlallerinin en resmi göstergesidir. Yüksek dava sayısı yönetimsel risktir.</t>
        </is>
      </c>
      <c r="D41" s="274">
        <f>ESG_FO_Makale!$G$18</f>
        <v/>
      </c>
      <c r="E41" s="274" t="n">
        <v>0.06</v>
      </c>
      <c r="F41" s="274">
        <f>D41*E41</f>
        <v/>
      </c>
      <c r="G41" s="274">
        <f>ESG_FO_AnaBlok!$G$18</f>
        <v/>
      </c>
      <c r="H41" s="274">
        <f>S_AltGruplar!F$16</f>
        <v/>
      </c>
      <c r="I41" s="274">
        <f>S_CalismaKos!K22</f>
        <v/>
      </c>
      <c r="J41" s="274">
        <f>G41*H41*I41</f>
        <v/>
      </c>
      <c r="K41" s="274">
        <f>H41*I41</f>
        <v/>
      </c>
      <c r="L41" s="274" t="inlineStr">
        <is>
          <t>Dava sayıları ile ilgili işletme özelinde istatistiki kayıt bulunmamakla birlikte yapılan görüşmelerde idari davaların nadir olduğu belirtilmiştir.3488 personel içinde sadece 29 "işçilik alacağı" davası bulunduğu belirtilmiştir.</t>
        </is>
      </c>
      <c r="M41" s="274" t="n">
        <v>3</v>
      </c>
      <c r="N41" s="274" t="inlineStr">
        <is>
          <t xml:space="preserve">Karacabey’de 125 dava bulunduğu bildirilmiştir. </t>
        </is>
      </c>
      <c r="O41" s="275" t="n">
        <v>2</v>
      </c>
      <c r="P41" s="274" t="inlineStr">
        <is>
          <t>47  İşçilik alacağı bulunmaktadır.</t>
        </is>
      </c>
      <c r="Q41" s="274" t="n">
        <v>3</v>
      </c>
      <c r="R41" s="274">
        <f>100*(M41-1)/4</f>
        <v/>
      </c>
      <c r="S41" s="274">
        <f>100*(O41-1)/4</f>
        <v/>
      </c>
      <c r="T41" s="274">
        <f>100*(Q41-1)/4</f>
        <v/>
      </c>
      <c r="U41" s="274">
        <f>R41*J41</f>
        <v/>
      </c>
      <c r="V41" s="274">
        <f>R41*K41</f>
        <v/>
      </c>
      <c r="W41" s="274">
        <f>S41*$J41</f>
        <v/>
      </c>
      <c r="X41" s="274">
        <f>S41*K41</f>
        <v/>
      </c>
      <c r="Y41" s="274">
        <f>T41*$J41</f>
        <v/>
      </c>
      <c r="Z41" s="274">
        <f>T41*K41</f>
        <v/>
      </c>
      <c r="AA41" s="274">
        <f>R41*F41</f>
        <v/>
      </c>
      <c r="AB41" s="274">
        <f>R41*E41</f>
        <v/>
      </c>
      <c r="AC41" s="274">
        <f>S41*F41</f>
        <v/>
      </c>
      <c r="AD41" s="274">
        <f>S41*E41</f>
        <v/>
      </c>
      <c r="AE41" s="274">
        <f>T41*F41</f>
        <v/>
      </c>
      <c r="AF41" s="274">
        <f>T41*E41</f>
        <v/>
      </c>
      <c r="AG41" s="284">
        <f>R41*0.25*K41</f>
        <v/>
      </c>
      <c r="AH41" s="284">
        <f>K41*R41</f>
        <v/>
      </c>
      <c r="AI41" s="284">
        <f>S41*0.25*$K41</f>
        <v/>
      </c>
      <c r="AJ41" s="284">
        <f>S41*K41</f>
        <v/>
      </c>
      <c r="AK41" s="284">
        <f>T41*0.25*$K41</f>
        <v/>
      </c>
      <c r="AL41" s="284">
        <f>K41*T41</f>
        <v/>
      </c>
      <c r="AM41" s="284">
        <f>1/3</f>
        <v/>
      </c>
      <c r="AN41" s="274">
        <f>R41*I41*AM41*0.25</f>
        <v/>
      </c>
      <c r="AO41" s="274">
        <f>R41*I41*AM41</f>
        <v/>
      </c>
      <c r="AP41" s="274">
        <f>S41*I41*AM41*0.25</f>
        <v/>
      </c>
      <c r="AQ41" s="274">
        <f>S41*I41*AM41</f>
        <v/>
      </c>
      <c r="AR41" s="274">
        <f>T41*I41*AM41*0.25</f>
        <v/>
      </c>
      <c r="AS41" s="274">
        <f>T41*I41*AM41</f>
        <v/>
      </c>
      <c r="AT41" s="274">
        <f>1/8</f>
        <v/>
      </c>
      <c r="AU41" s="284">
        <f>AM41</f>
        <v/>
      </c>
      <c r="AV41" s="274">
        <f>R41*AT41*AU41*0.25</f>
        <v/>
      </c>
      <c r="AW41" s="274">
        <f>R41*AT41*AU41</f>
        <v/>
      </c>
      <c r="AX41" s="274">
        <f>S41*AT41*AU41*0.25</f>
        <v/>
      </c>
      <c r="AY41" s="274">
        <f>S41*AT41*AU41</f>
        <v/>
      </c>
      <c r="AZ41" s="274">
        <f>T41*AT41*AU41*0.25</f>
        <v/>
      </c>
      <c r="BA41" s="274">
        <f>T41*AT41*AU41</f>
        <v/>
      </c>
      <c r="BB41" s="274">
        <f>R41*K41*0.2</f>
        <v/>
      </c>
      <c r="BC41" s="274">
        <f>R41*K41</f>
        <v/>
      </c>
      <c r="BD41" s="274">
        <f>S41*K41*0.2</f>
        <v/>
      </c>
      <c r="BE41" s="274">
        <f>S41*K41</f>
        <v/>
      </c>
      <c r="BF41" s="288">
        <f>T41*K41*0.2</f>
        <v/>
      </c>
      <c r="BG41" s="308">
        <f>T41*K41</f>
        <v/>
      </c>
      <c r="BH41" s="308">
        <f>R41*K41*0.4</f>
        <v/>
      </c>
      <c r="BI41" s="308">
        <f>R41*K41</f>
        <v/>
      </c>
      <c r="BJ41" s="308">
        <f>S41*K41*0.4</f>
        <v/>
      </c>
      <c r="BK41" s="308">
        <f>S41*K41</f>
        <v/>
      </c>
      <c r="BL41" s="308">
        <f>T41*K41*0.4</f>
        <v/>
      </c>
      <c r="BM41" s="311">
        <f>T41*K41</f>
        <v/>
      </c>
      <c r="BN41" s="311">
        <f>R41*K41*0.2</f>
        <v/>
      </c>
      <c r="BO41" s="311">
        <f>K41*R41</f>
        <v/>
      </c>
      <c r="BP41" s="311">
        <f>S41*K41*0.2</f>
        <v/>
      </c>
      <c r="BQ41" s="311">
        <f>K41*S41</f>
        <v/>
      </c>
      <c r="BR41" s="311">
        <f>K41*T41*0.2</f>
        <v/>
      </c>
      <c r="BS41" s="270">
        <f>K41*T41</f>
        <v/>
      </c>
      <c r="BT41" s="270">
        <f>R41*K41*0.2</f>
        <v/>
      </c>
      <c r="BU41" s="270">
        <f>R41*K41</f>
        <v/>
      </c>
      <c r="BV41" s="270">
        <f>S41*K41*0.2</f>
        <v/>
      </c>
      <c r="BW41" s="270">
        <f>S41*K41</f>
        <v/>
      </c>
      <c r="BX41" s="270">
        <f>T41*K41*0.2</f>
        <v/>
      </c>
      <c r="BY41" s="270">
        <f>T41*K41</f>
        <v/>
      </c>
      <c r="BZ41" s="274">
        <f>R41*K41*0.33</f>
        <v/>
      </c>
      <c r="CA41" s="274">
        <f>R41*K41</f>
        <v/>
      </c>
      <c r="CB41" s="274">
        <f>S41*K41*0.33</f>
        <v/>
      </c>
      <c r="CC41" s="274">
        <f>S41*K41</f>
        <v/>
      </c>
      <c r="CD41" s="274">
        <f>T41*K41*0.33</f>
        <v/>
      </c>
      <c r="CE41" s="274">
        <f>T41*K41</f>
        <v/>
      </c>
    </row>
    <row r="42" ht="120" customFormat="1" customHeight="1" s="274">
      <c r="A42" s="274" t="n">
        <v>39</v>
      </c>
      <c r="B42" s="273" t="inlineStr">
        <is>
          <t>Memnuniyet anketleri/şikayetler</t>
        </is>
      </c>
      <c r="C42" s="273" t="inlineStr">
        <is>
          <t>Geri Bildirim: Çalışanların sesinin duyulup duyulmadığını gösteren, modern yönetim anlayışının bir parçasıdır.</t>
        </is>
      </c>
      <c r="D42" s="274">
        <f>ESG_FO_Makale!$G$18</f>
        <v/>
      </c>
      <c r="E42" s="274" t="n">
        <v>0.04000000000000001</v>
      </c>
      <c r="F42" s="274">
        <f>D42*E42</f>
        <v/>
      </c>
      <c r="G42" s="274">
        <f>ESG_FO_AnaBlok!$G$18</f>
        <v/>
      </c>
      <c r="H42" s="274">
        <f>S_AltGruplar!F$16</f>
        <v/>
      </c>
      <c r="I42" s="274">
        <f>S_CalismaKos!K23</f>
        <v/>
      </c>
      <c r="J42" s="274">
        <f>G42*H42*I42</f>
        <v/>
      </c>
      <c r="K42" s="274">
        <f>H42*I42</f>
        <v/>
      </c>
      <c r="L42" s="274" t="inlineStr">
        <is>
          <t>İşletme bazında çalışan memnuniyeti ölçümü çalışması yapılmamakla birlikte saha gözlemlerinde personel mülakatlarında coğrafi konum haricinde olumsuz beyanda bulunulmamıştır.</t>
        </is>
      </c>
      <c r="M42" s="274" t="n">
        <v>3</v>
      </c>
      <c r="N42" s="274" t="inlineStr">
        <is>
          <t xml:space="preserve">İşletme bazında düzenli çalışan memnuniyeti anketi yapılmadığı, saha görüşmelerinde coğrafi konum dışında belirgin bir olumsuzluğun dile getirilmediği bildirilmiştir. </t>
        </is>
      </c>
      <c r="O42" s="275" t="n">
        <v>3</v>
      </c>
      <c r="P42" s="274" t="inlineStr">
        <is>
          <t xml:space="preserve">İşletme bazında düzenli çalışan memnuniyeti anketi yapılmadığı, saha görüşmelerinde coğrafi konum dışında belirgin bir olumsuzluğun dile getirilmediği bildirilmiştir. </t>
        </is>
      </c>
      <c r="Q42" s="274" t="n">
        <v>3</v>
      </c>
      <c r="R42" s="274">
        <f>100*(M42-1)/4</f>
        <v/>
      </c>
      <c r="S42" s="274">
        <f>100*(O42-1)/4</f>
        <v/>
      </c>
      <c r="T42" s="274">
        <f>100*(Q42-1)/4</f>
        <v/>
      </c>
      <c r="U42" s="274">
        <f>R42*J42</f>
        <v/>
      </c>
      <c r="V42" s="274">
        <f>R42*K42</f>
        <v/>
      </c>
      <c r="W42" s="274">
        <f>S42*$J42</f>
        <v/>
      </c>
      <c r="X42" s="274">
        <f>S42*K42</f>
        <v/>
      </c>
      <c r="Y42" s="274">
        <f>T42*$J42</f>
        <v/>
      </c>
      <c r="Z42" s="274">
        <f>T42*K42</f>
        <v/>
      </c>
      <c r="AA42" s="274">
        <f>R42*F42</f>
        <v/>
      </c>
      <c r="AB42" s="274">
        <f>R42*E42</f>
        <v/>
      </c>
      <c r="AC42" s="274">
        <f>S42*F42</f>
        <v/>
      </c>
      <c r="AD42" s="274">
        <f>S42*E42</f>
        <v/>
      </c>
      <c r="AE42" s="274">
        <f>T42*F42</f>
        <v/>
      </c>
      <c r="AF42" s="274">
        <f>T42*E42</f>
        <v/>
      </c>
      <c r="AG42" s="284">
        <f>R42*0.25*K42</f>
        <v/>
      </c>
      <c r="AH42" s="284">
        <f>K42*R42</f>
        <v/>
      </c>
      <c r="AI42" s="284">
        <f>S42*0.25*$K42</f>
        <v/>
      </c>
      <c r="AJ42" s="284">
        <f>S42*K42</f>
        <v/>
      </c>
      <c r="AK42" s="284">
        <f>T42*0.25*$K42</f>
        <v/>
      </c>
      <c r="AL42" s="284">
        <f>K42*T42</f>
        <v/>
      </c>
      <c r="AM42" s="284">
        <f>1/3</f>
        <v/>
      </c>
      <c r="AN42" s="274">
        <f>R42*I42*AM42*0.25</f>
        <v/>
      </c>
      <c r="AO42" s="274">
        <f>R42*I42*AM42</f>
        <v/>
      </c>
      <c r="AP42" s="274">
        <f>S42*I42*AM42*0.25</f>
        <v/>
      </c>
      <c r="AQ42" s="274">
        <f>S42*I42*AM42</f>
        <v/>
      </c>
      <c r="AR42" s="274">
        <f>T42*I42*AM42*0.25</f>
        <v/>
      </c>
      <c r="AS42" s="274">
        <f>T42*I42*AM42</f>
        <v/>
      </c>
      <c r="AT42" s="274">
        <f>1/8</f>
        <v/>
      </c>
      <c r="AU42" s="284">
        <f>AM42</f>
        <v/>
      </c>
      <c r="AV42" s="274">
        <f>R42*AT42*AU42*0.25</f>
        <v/>
      </c>
      <c r="AW42" s="274">
        <f>R42*AT42*AU42</f>
        <v/>
      </c>
      <c r="AX42" s="274">
        <f>S42*AT42*AU42*0.25</f>
        <v/>
      </c>
      <c r="AY42" s="274">
        <f>S42*AT42*AU42</f>
        <v/>
      </c>
      <c r="AZ42" s="274">
        <f>T42*AT42*AU42*0.25</f>
        <v/>
      </c>
      <c r="BA42" s="274">
        <f>T42*AT42*AU42</f>
        <v/>
      </c>
      <c r="BB42" s="274">
        <f>R42*K42*0.2</f>
        <v/>
      </c>
      <c r="BC42" s="274">
        <f>R42*K42</f>
        <v/>
      </c>
      <c r="BD42" s="274">
        <f>S42*K42*0.2</f>
        <v/>
      </c>
      <c r="BE42" s="274">
        <f>S42*K42</f>
        <v/>
      </c>
      <c r="BF42" s="288">
        <f>T42*K42*0.2</f>
        <v/>
      </c>
      <c r="BG42" s="308">
        <f>T42*K42</f>
        <v/>
      </c>
      <c r="BH42" s="308">
        <f>R42*K42*0.4</f>
        <v/>
      </c>
      <c r="BI42" s="308">
        <f>R42*K42</f>
        <v/>
      </c>
      <c r="BJ42" s="308">
        <f>S42*K42*0.4</f>
        <v/>
      </c>
      <c r="BK42" s="308">
        <f>S42*K42</f>
        <v/>
      </c>
      <c r="BL42" s="308">
        <f>T42*K42*0.4</f>
        <v/>
      </c>
      <c r="BM42" s="311">
        <f>T42*K42</f>
        <v/>
      </c>
      <c r="BN42" s="311">
        <f>R42*K42*0.2</f>
        <v/>
      </c>
      <c r="BO42" s="311">
        <f>K42*R42</f>
        <v/>
      </c>
      <c r="BP42" s="311">
        <f>S42*K42*0.2</f>
        <v/>
      </c>
      <c r="BQ42" s="311">
        <f>K42*S42</f>
        <v/>
      </c>
      <c r="BR42" s="311">
        <f>K42*T42*0.2</f>
        <v/>
      </c>
      <c r="BS42" s="270">
        <f>K42*T42</f>
        <v/>
      </c>
      <c r="BT42" s="270">
        <f>R42*K42*0.2</f>
        <v/>
      </c>
      <c r="BU42" s="270">
        <f>R42*K42</f>
        <v/>
      </c>
      <c r="BV42" s="270">
        <f>S42*K42*0.2</f>
        <v/>
      </c>
      <c r="BW42" s="270">
        <f>S42*K42</f>
        <v/>
      </c>
      <c r="BX42" s="270">
        <f>T42*K42*0.2</f>
        <v/>
      </c>
      <c r="BY42" s="270">
        <f>T42*K42</f>
        <v/>
      </c>
      <c r="BZ42" s="274">
        <f>R42*K42*0.33</f>
        <v/>
      </c>
      <c r="CA42" s="274">
        <f>R42*K42</f>
        <v/>
      </c>
      <c r="CB42" s="274">
        <f>S42*K42*0.33</f>
        <v/>
      </c>
      <c r="CC42" s="274">
        <f>S42*K42</f>
        <v/>
      </c>
      <c r="CD42" s="274">
        <f>T42*K42*0.33</f>
        <v/>
      </c>
      <c r="CE42" s="274">
        <f>T42*K42</f>
        <v/>
      </c>
    </row>
    <row r="43" ht="76.5" customFormat="1" customHeight="1" s="274">
      <c r="A43" s="274" t="n">
        <v>40</v>
      </c>
      <c r="B43" s="273" t="inlineStr">
        <is>
          <t>İş kazaları</t>
        </is>
      </c>
      <c r="C43" s="273" t="inlineStr">
        <is>
          <t>Kritik Risk: Sosyal sürdürülebilirliğin en somut negatif göstergesidir. Sıfır kaza hedefi, denetimin temelidir.</t>
        </is>
      </c>
      <c r="D43" s="274">
        <f>ESG_FO_Makale!$G$18</f>
        <v/>
      </c>
      <c r="E43" s="274" t="n">
        <v>0.08000000000000002</v>
      </c>
      <c r="F43" s="274">
        <f>D43*E43</f>
        <v/>
      </c>
      <c r="G43" s="274">
        <f>ESG_FO_AnaBlok!$G$18</f>
        <v/>
      </c>
      <c r="H43" s="274">
        <f>S_AltGruplar!F$16</f>
        <v/>
      </c>
      <c r="I43" s="274">
        <f>S_CalismaKos!K24</f>
        <v/>
      </c>
      <c r="J43" s="274">
        <f>G43*H43*I43</f>
        <v/>
      </c>
      <c r="K43" s="274">
        <f>H43*I43</f>
        <v/>
      </c>
      <c r="L43" s="274" t="inlineStr">
        <is>
          <t>Ceylanpınar: 158 iş kazasıyla yüksek riskli gruptadır.</t>
        </is>
      </c>
      <c r="M43" s="274" t="n">
        <v>2</v>
      </c>
      <c r="N43" s="274" t="inlineStr">
        <is>
          <t>10 basit iş kazası</t>
        </is>
      </c>
      <c r="O43" s="275" t="n">
        <v>3</v>
      </c>
      <c r="P43" s="285" t="inlineStr">
        <is>
          <t>2023 Yılı içinde iş kazası kaydı bulunmamaktadır.</t>
        </is>
      </c>
      <c r="Q43" s="274" t="n">
        <v>4</v>
      </c>
      <c r="R43" s="274">
        <f>100*(M43-1)/4</f>
        <v/>
      </c>
      <c r="S43" s="274">
        <f>100*(O43-1)/4</f>
        <v/>
      </c>
      <c r="T43" s="274">
        <f>100*(Q43-1)/4</f>
        <v/>
      </c>
      <c r="U43" s="274">
        <f>R43*J43</f>
        <v/>
      </c>
      <c r="V43" s="274">
        <f>R43*K43</f>
        <v/>
      </c>
      <c r="W43" s="274">
        <f>S43*$J43</f>
        <v/>
      </c>
      <c r="X43" s="274">
        <f>S43*K43</f>
        <v/>
      </c>
      <c r="Y43" s="274">
        <f>T43*$J43</f>
        <v/>
      </c>
      <c r="Z43" s="274">
        <f>T43*K43</f>
        <v/>
      </c>
      <c r="AA43" s="274">
        <f>R43*F43</f>
        <v/>
      </c>
      <c r="AB43" s="274">
        <f>R43*E43</f>
        <v/>
      </c>
      <c r="AC43" s="274">
        <f>S43*F43</f>
        <v/>
      </c>
      <c r="AD43" s="274">
        <f>S43*E43</f>
        <v/>
      </c>
      <c r="AE43" s="274">
        <f>T43*F43</f>
        <v/>
      </c>
      <c r="AF43" s="274">
        <f>T43*E43</f>
        <v/>
      </c>
      <c r="AG43" s="284">
        <f>R43*0.25*K43</f>
        <v/>
      </c>
      <c r="AH43" s="284">
        <f>K43*R43</f>
        <v/>
      </c>
      <c r="AI43" s="284">
        <f>S43*0.25*$K43</f>
        <v/>
      </c>
      <c r="AJ43" s="284">
        <f>S43*K43</f>
        <v/>
      </c>
      <c r="AK43" s="284">
        <f>T43*0.25*$K43</f>
        <v/>
      </c>
      <c r="AL43" s="284">
        <f>K43*T43</f>
        <v/>
      </c>
      <c r="AM43" s="284">
        <f>1/3</f>
        <v/>
      </c>
      <c r="AN43" s="274">
        <f>R43*I43*AM43*0.25</f>
        <v/>
      </c>
      <c r="AO43" s="274">
        <f>R43*I43*AM43</f>
        <v/>
      </c>
      <c r="AP43" s="274">
        <f>S43*I43*AM43*0.25</f>
        <v/>
      </c>
      <c r="AQ43" s="274">
        <f>S43*I43*AM43</f>
        <v/>
      </c>
      <c r="AR43" s="274">
        <f>T43*I43*AM43*0.25</f>
        <v/>
      </c>
      <c r="AS43" s="274">
        <f>T43*I43*AM43</f>
        <v/>
      </c>
      <c r="AT43" s="274">
        <f>1/8</f>
        <v/>
      </c>
      <c r="AU43" s="284">
        <f>AM43</f>
        <v/>
      </c>
      <c r="AV43" s="274">
        <f>R43*AT43*AU43*0.25</f>
        <v/>
      </c>
      <c r="AW43" s="274">
        <f>R43*AT43*AU43</f>
        <v/>
      </c>
      <c r="AX43" s="274">
        <f>S43*AT43*AU43*0.25</f>
        <v/>
      </c>
      <c r="AY43" s="274">
        <f>S43*AT43*AU43</f>
        <v/>
      </c>
      <c r="AZ43" s="274">
        <f>T43*AT43*AU43*0.25</f>
        <v/>
      </c>
      <c r="BA43" s="274">
        <f>T43*AT43*AU43</f>
        <v/>
      </c>
      <c r="BB43" s="274">
        <f>R43*K43*0.2</f>
        <v/>
      </c>
      <c r="BC43" s="274">
        <f>R43*K43</f>
        <v/>
      </c>
      <c r="BD43" s="274">
        <f>S43*K43*0.2</f>
        <v/>
      </c>
      <c r="BE43" s="274">
        <f>S43*K43</f>
        <v/>
      </c>
      <c r="BF43" s="288">
        <f>T43*K43*0.2</f>
        <v/>
      </c>
      <c r="BG43" s="308">
        <f>T43*K43</f>
        <v/>
      </c>
      <c r="BH43" s="308">
        <f>R43*K43*0.4</f>
        <v/>
      </c>
      <c r="BI43" s="308">
        <f>R43*K43</f>
        <v/>
      </c>
      <c r="BJ43" s="308">
        <f>S43*K43*0.4</f>
        <v/>
      </c>
      <c r="BK43" s="308">
        <f>S43*K43</f>
        <v/>
      </c>
      <c r="BL43" s="308">
        <f>T43*K43*0.4</f>
        <v/>
      </c>
      <c r="BM43" s="311">
        <f>T43*K43</f>
        <v/>
      </c>
      <c r="BN43" s="311">
        <f>R43*K43*0.2</f>
        <v/>
      </c>
      <c r="BO43" s="311">
        <f>K43*R43</f>
        <v/>
      </c>
      <c r="BP43" s="311">
        <f>S43*K43*0.2</f>
        <v/>
      </c>
      <c r="BQ43" s="311">
        <f>K43*S43</f>
        <v/>
      </c>
      <c r="BR43" s="311">
        <f>K43*T43*0.2</f>
        <v/>
      </c>
      <c r="BS43" s="270">
        <f>K43*T43</f>
        <v/>
      </c>
      <c r="BT43" s="270">
        <f>R43*K43*0.2</f>
        <v/>
      </c>
      <c r="BU43" s="270">
        <f>R43*K43</f>
        <v/>
      </c>
      <c r="BV43" s="270">
        <f>S43*K43*0.2</f>
        <v/>
      </c>
      <c r="BW43" s="270">
        <f>S43*K43</f>
        <v/>
      </c>
      <c r="BX43" s="270">
        <f>T43*K43*0.2</f>
        <v/>
      </c>
      <c r="BY43" s="270">
        <f>T43*K43</f>
        <v/>
      </c>
      <c r="BZ43" s="274">
        <f>R43*K43*0.33</f>
        <v/>
      </c>
      <c r="CA43" s="274">
        <f>R43*K43</f>
        <v/>
      </c>
      <c r="CB43" s="274">
        <f>S43*K43*0.33</f>
        <v/>
      </c>
      <c r="CC43" s="274">
        <f>S43*K43</f>
        <v/>
      </c>
      <c r="CD43" s="274">
        <f>T43*K43*0.33</f>
        <v/>
      </c>
      <c r="CE43" s="274">
        <f>T43*K43</f>
        <v/>
      </c>
    </row>
    <row r="44" ht="90" customFormat="1" customHeight="1" s="274">
      <c r="A44" s="274" t="n">
        <v>41</v>
      </c>
      <c r="B44" s="273" t="inlineStr">
        <is>
          <t>Meslek Hastalıkları</t>
        </is>
      </c>
      <c r="C44" s="273" t="inlineStr">
        <is>
          <t>Uzun Vadeli Sağlık: Zirai ilaçlara ve toza maruz kalan personel için kritik takip alanıdır. TİGEM'in koruyucu sağlık başarısını gösterir.</t>
        </is>
      </c>
      <c r="D44" s="274">
        <f>ESG_FO_Makale!$G$18</f>
        <v/>
      </c>
      <c r="E44" s="274" t="n">
        <v>0.06</v>
      </c>
      <c r="F44" s="274">
        <f>D44*E44</f>
        <v/>
      </c>
      <c r="G44" s="274">
        <f>ESG_FO_AnaBlok!$G$18</f>
        <v/>
      </c>
      <c r="H44" s="274">
        <f>S_AltGruplar!F$16</f>
        <v/>
      </c>
      <c r="I44" s="274">
        <f>S_CalismaKos!K25</f>
        <v/>
      </c>
      <c r="J44" s="274">
        <f>G44*H44*I44</f>
        <v/>
      </c>
      <c r="K44" s="274">
        <f>H44*I44</f>
        <v/>
      </c>
      <c r="L44" s="274" t="inlineStr">
        <is>
          <t>Meslek hastalıkları ile ilgili kayıt bulunmamaktadır. Ancak İSG kuralları prosedürleri; mevcut olup personel yazılı tebliğ ettirilmiştir.</t>
        </is>
      </c>
      <c r="M44" s="274" t="n">
        <v>3</v>
      </c>
      <c r="N44" s="274" t="inlineStr">
        <is>
          <t>Meslek hastalıkları ile ilgili kayıt bulunmamaktadır. Ancak İSG kuralları prosedürleri; mevcut olup personel yazılı tebliğ ettirilmiştir.</t>
        </is>
      </c>
      <c r="O44" s="275" t="n">
        <v>3</v>
      </c>
      <c r="P44" s="274" t="inlineStr">
        <is>
          <t>Meslek hastalıkları ile ilgili kayıt bulunmamaktadır. Ancak İSG kuralları prosedürleri; mevcut olup personel yazılı tebliğ ettirilmiştir.</t>
        </is>
      </c>
      <c r="Q44" s="274" t="n">
        <v>3</v>
      </c>
      <c r="R44" s="274">
        <f>100*(M44-1)/4</f>
        <v/>
      </c>
      <c r="S44" s="274">
        <f>100*(O44-1)/4</f>
        <v/>
      </c>
      <c r="T44" s="274">
        <f>100*(Q44-1)/4</f>
        <v/>
      </c>
      <c r="U44" s="274">
        <f>R44*J44</f>
        <v/>
      </c>
      <c r="V44" s="274">
        <f>R44*K44</f>
        <v/>
      </c>
      <c r="W44" s="274">
        <f>S44*$J44</f>
        <v/>
      </c>
      <c r="X44" s="274">
        <f>S44*K44</f>
        <v/>
      </c>
      <c r="Y44" s="274">
        <f>T44*$J44</f>
        <v/>
      </c>
      <c r="Z44" s="274">
        <f>T44*K44</f>
        <v/>
      </c>
      <c r="AA44" s="274">
        <f>R44*F44</f>
        <v/>
      </c>
      <c r="AB44" s="274">
        <f>R44*E44</f>
        <v/>
      </c>
      <c r="AC44" s="274">
        <f>S44*F44</f>
        <v/>
      </c>
      <c r="AD44" s="274">
        <f>S44*E44</f>
        <v/>
      </c>
      <c r="AE44" s="274">
        <f>T44*F44</f>
        <v/>
      </c>
      <c r="AF44" s="274">
        <f>T44*E44</f>
        <v/>
      </c>
      <c r="AG44" s="284">
        <f>R44*0.25*K44</f>
        <v/>
      </c>
      <c r="AH44" s="284">
        <f>K44*R44</f>
        <v/>
      </c>
      <c r="AI44" s="284">
        <f>S44*0.25*$K44</f>
        <v/>
      </c>
      <c r="AJ44" s="284">
        <f>S44*K44</f>
        <v/>
      </c>
      <c r="AK44" s="284">
        <f>T44*0.25*$K44</f>
        <v/>
      </c>
      <c r="AL44" s="284">
        <f>K44*T44</f>
        <v/>
      </c>
      <c r="AM44" s="284">
        <f>1/3</f>
        <v/>
      </c>
      <c r="AN44" s="274">
        <f>R44*I44*AM44*0.25</f>
        <v/>
      </c>
      <c r="AO44" s="274">
        <f>R44*I44*AM44</f>
        <v/>
      </c>
      <c r="AP44" s="274">
        <f>S44*I44*AM44*0.25</f>
        <v/>
      </c>
      <c r="AQ44" s="274">
        <f>S44*I44*AM44</f>
        <v/>
      </c>
      <c r="AR44" s="274">
        <f>T44*I44*AM44*0.25</f>
        <v/>
      </c>
      <c r="AS44" s="274">
        <f>T44*I44*AM44</f>
        <v/>
      </c>
      <c r="AT44" s="274">
        <f>1/8</f>
        <v/>
      </c>
      <c r="AU44" s="284">
        <f>AM44</f>
        <v/>
      </c>
      <c r="AV44" s="274">
        <f>R44*AT44*AU44*0.25</f>
        <v/>
      </c>
      <c r="AW44" s="274">
        <f>R44*AT44*AU44</f>
        <v/>
      </c>
      <c r="AX44" s="274">
        <f>S44*AT44*AU44*0.25</f>
        <v/>
      </c>
      <c r="AY44" s="274">
        <f>S44*AT44*AU44</f>
        <v/>
      </c>
      <c r="AZ44" s="274">
        <f>T44*AT44*AU44*0.25</f>
        <v/>
      </c>
      <c r="BA44" s="274">
        <f>T44*AT44*AU44</f>
        <v/>
      </c>
      <c r="BB44" s="274">
        <f>R44*K44*0.2</f>
        <v/>
      </c>
      <c r="BC44" s="274">
        <f>R44*K44</f>
        <v/>
      </c>
      <c r="BD44" s="274">
        <f>S44*K44*0.2</f>
        <v/>
      </c>
      <c r="BE44" s="274">
        <f>S44*K44</f>
        <v/>
      </c>
      <c r="BF44" s="288">
        <f>T44*K44*0.2</f>
        <v/>
      </c>
      <c r="BG44" s="308">
        <f>T44*K44</f>
        <v/>
      </c>
      <c r="BH44" s="308">
        <f>R44*K44*0.4</f>
        <v/>
      </c>
      <c r="BI44" s="308">
        <f>R44*K44</f>
        <v/>
      </c>
      <c r="BJ44" s="308">
        <f>S44*K44*0.4</f>
        <v/>
      </c>
      <c r="BK44" s="308">
        <f>S44*K44</f>
        <v/>
      </c>
      <c r="BL44" s="308">
        <f>T44*K44*0.4</f>
        <v/>
      </c>
      <c r="BM44" s="311">
        <f>T44*K44</f>
        <v/>
      </c>
      <c r="BN44" s="311">
        <f>R44*K44*0.2</f>
        <v/>
      </c>
      <c r="BO44" s="311">
        <f>K44*R44</f>
        <v/>
      </c>
      <c r="BP44" s="311">
        <f>S44*K44*0.2</f>
        <v/>
      </c>
      <c r="BQ44" s="311">
        <f>K44*S44</f>
        <v/>
      </c>
      <c r="BR44" s="311">
        <f>K44*T44*0.2</f>
        <v/>
      </c>
      <c r="BS44" s="270">
        <f>K44*T44</f>
        <v/>
      </c>
      <c r="BT44" s="270">
        <f>R44*K44*0.2</f>
        <v/>
      </c>
      <c r="BU44" s="270">
        <f>R44*K44</f>
        <v/>
      </c>
      <c r="BV44" s="270">
        <f>S44*K44*0.2</f>
        <v/>
      </c>
      <c r="BW44" s="270">
        <f>S44*K44</f>
        <v/>
      </c>
      <c r="BX44" s="270">
        <f>T44*K44*0.2</f>
        <v/>
      </c>
      <c r="BY44" s="270">
        <f>T44*K44</f>
        <v/>
      </c>
      <c r="BZ44" s="274">
        <f>R44*K44*0.33</f>
        <v/>
      </c>
      <c r="CA44" s="274">
        <f>R44*K44</f>
        <v/>
      </c>
      <c r="CB44" s="274">
        <f>S44*K44*0.33</f>
        <v/>
      </c>
      <c r="CC44" s="274">
        <f>S44*K44</f>
        <v/>
      </c>
      <c r="CD44" s="274">
        <f>T44*K44*0.33</f>
        <v/>
      </c>
      <c r="CE44" s="274">
        <f>T44*K44</f>
        <v/>
      </c>
    </row>
    <row r="45" ht="90" customFormat="1" customHeight="1" s="274">
      <c r="A45" s="274" t="n">
        <v>42</v>
      </c>
      <c r="B45" s="273" t="inlineStr">
        <is>
          <t>İSG (Eğitimler/İSG Uzmanı istihdamı)</t>
        </is>
      </c>
      <c r="C45" s="273" t="inlineStr">
        <is>
          <t>Önleyici Yaklaşım: Kişisel koruyucu donanım, risk analizleri ve eğitimler. Kazayı oluşmadan önleme kapasitesini ölçer.</t>
        </is>
      </c>
      <c r="D45" s="274">
        <f>ESG_FO_Makale!$G$18</f>
        <v/>
      </c>
      <c r="E45" s="274" t="n">
        <v>0.08000000000000002</v>
      </c>
      <c r="F45" s="274">
        <f>D45*E45</f>
        <v/>
      </c>
      <c r="G45" s="274">
        <f>ESG_FO_AnaBlok!$G$18</f>
        <v/>
      </c>
      <c r="H45" s="274">
        <f>S_AltGruplar!F$16</f>
        <v/>
      </c>
      <c r="I45" s="274">
        <f>S_CalismaKos!K26</f>
        <v/>
      </c>
      <c r="J45" s="274">
        <f>G45*H45*I45</f>
        <v/>
      </c>
      <c r="K45" s="274">
        <f>H45*I45</f>
        <v/>
      </c>
      <c r="L45" s="274" t="inlineStr">
        <is>
          <t>İSG uzmanı istihdam edilmekte; çalışanlara talimatlar yazılı kitapçıklar halinde imza karşılığı tebliğ edilmekte; eğitimler verilmekte.</t>
        </is>
      </c>
      <c r="M45" s="274" t="n">
        <v>5</v>
      </c>
      <c r="N45" s="274" t="inlineStr">
        <is>
          <t xml:space="preserve">İSG uzmanının bulunduğu ve eğitimlerin verildiği bildirilmiştir. </t>
        </is>
      </c>
      <c r="O45" s="275" t="n">
        <v>4</v>
      </c>
      <c r="P45" s="274" t="inlineStr">
        <is>
          <t xml:space="preserve">İSG uzmanının bulunduğu ve eğitimlerin verildiği bildirilmiştir. </t>
        </is>
      </c>
      <c r="Q45" s="274" t="n">
        <v>4</v>
      </c>
      <c r="R45" s="274">
        <f>100*(M45-1)/4</f>
        <v/>
      </c>
      <c r="S45" s="274">
        <f>100*(O45-1)/4</f>
        <v/>
      </c>
      <c r="T45" s="274">
        <f>100*(Q45-1)/4</f>
        <v/>
      </c>
      <c r="U45" s="274">
        <f>R45*J45</f>
        <v/>
      </c>
      <c r="V45" s="274">
        <f>R45*K45</f>
        <v/>
      </c>
      <c r="W45" s="274">
        <f>S45*$J45</f>
        <v/>
      </c>
      <c r="X45" s="274">
        <f>S45*K45</f>
        <v/>
      </c>
      <c r="Y45" s="274">
        <f>T45*$J45</f>
        <v/>
      </c>
      <c r="Z45" s="274">
        <f>T45*K45</f>
        <v/>
      </c>
      <c r="AA45" s="274">
        <f>R45*F45</f>
        <v/>
      </c>
      <c r="AB45" s="274">
        <f>R45*E45</f>
        <v/>
      </c>
      <c r="AC45" s="274">
        <f>S45*F45</f>
        <v/>
      </c>
      <c r="AD45" s="274">
        <f>S45*E45</f>
        <v/>
      </c>
      <c r="AE45" s="274">
        <f>T45*F45</f>
        <v/>
      </c>
      <c r="AF45" s="274">
        <f>T45*E45</f>
        <v/>
      </c>
      <c r="AG45" s="284">
        <f>R45*0.25*K45</f>
        <v/>
      </c>
      <c r="AH45" s="284">
        <f>K45*R45</f>
        <v/>
      </c>
      <c r="AI45" s="284">
        <f>S45*0.25*$K45</f>
        <v/>
      </c>
      <c r="AJ45" s="284">
        <f>S45*K45</f>
        <v/>
      </c>
      <c r="AK45" s="284">
        <f>T45*0.25*$K45</f>
        <v/>
      </c>
      <c r="AL45" s="284">
        <f>K45*T45</f>
        <v/>
      </c>
      <c r="AM45" s="284">
        <f>1/3</f>
        <v/>
      </c>
      <c r="AN45" s="274">
        <f>R45*I45*AM45*0.25</f>
        <v/>
      </c>
      <c r="AO45" s="274">
        <f>R45*I45*AM45</f>
        <v/>
      </c>
      <c r="AP45" s="274">
        <f>S45*I45*AM45*0.25</f>
        <v/>
      </c>
      <c r="AQ45" s="274">
        <f>S45*I45*AM45</f>
        <v/>
      </c>
      <c r="AR45" s="274">
        <f>T45*I45*AM45*0.25</f>
        <v/>
      </c>
      <c r="AS45" s="274">
        <f>T45*I45*AM45</f>
        <v/>
      </c>
      <c r="AT45" s="274">
        <f>1/8</f>
        <v/>
      </c>
      <c r="AU45" s="284">
        <f>AM45</f>
        <v/>
      </c>
      <c r="AV45" s="274">
        <f>R45*AT45*AU45*0.25</f>
        <v/>
      </c>
      <c r="AW45" s="274">
        <f>R45*AT45*AU45</f>
        <v/>
      </c>
      <c r="AX45" s="274">
        <f>S45*AT45*AU45*0.25</f>
        <v/>
      </c>
      <c r="AY45" s="274">
        <f>S45*AT45*AU45</f>
        <v/>
      </c>
      <c r="AZ45" s="274">
        <f>T45*AT45*AU45*0.25</f>
        <v/>
      </c>
      <c r="BA45" s="274">
        <f>T45*AT45*AU45</f>
        <v/>
      </c>
      <c r="BB45" s="274">
        <f>R45*K45*0.2</f>
        <v/>
      </c>
      <c r="BC45" s="274">
        <f>R45*K45</f>
        <v/>
      </c>
      <c r="BD45" s="274">
        <f>S45*K45*0.2</f>
        <v/>
      </c>
      <c r="BE45" s="274">
        <f>S45*K45</f>
        <v/>
      </c>
      <c r="BF45" s="288">
        <f>T45*K45*0.2</f>
        <v/>
      </c>
      <c r="BG45" s="308">
        <f>T45*K45</f>
        <v/>
      </c>
      <c r="BH45" s="308">
        <f>R45*K45*0.4</f>
        <v/>
      </c>
      <c r="BI45" s="308">
        <f>R45*K45</f>
        <v/>
      </c>
      <c r="BJ45" s="308">
        <f>S45*K45*0.4</f>
        <v/>
      </c>
      <c r="BK45" s="308">
        <f>S45*K45</f>
        <v/>
      </c>
      <c r="BL45" s="308">
        <f>T45*K45*0.4</f>
        <v/>
      </c>
      <c r="BM45" s="311">
        <f>T45*K45</f>
        <v/>
      </c>
      <c r="BN45" s="311">
        <f>R45*K45*0.2</f>
        <v/>
      </c>
      <c r="BO45" s="311">
        <f>K45*R45</f>
        <v/>
      </c>
      <c r="BP45" s="311">
        <f>S45*K45*0.2</f>
        <v/>
      </c>
      <c r="BQ45" s="311">
        <f>K45*S45</f>
        <v/>
      </c>
      <c r="BR45" s="311">
        <f>K45*T45*0.2</f>
        <v/>
      </c>
      <c r="BS45" s="270">
        <f>K45*T45</f>
        <v/>
      </c>
      <c r="BT45" s="270">
        <f>R45*K45*0.2</f>
        <v/>
      </c>
      <c r="BU45" s="270">
        <f>R45*K45</f>
        <v/>
      </c>
      <c r="BV45" s="270">
        <f>S45*K45*0.2</f>
        <v/>
      </c>
      <c r="BW45" s="270">
        <f>S45*K45</f>
        <v/>
      </c>
      <c r="BX45" s="270">
        <f>T45*K45*0.2</f>
        <v/>
      </c>
      <c r="BY45" s="270">
        <f>T45*K45</f>
        <v/>
      </c>
      <c r="BZ45" s="274">
        <f>R45*K45*0.33</f>
        <v/>
      </c>
      <c r="CA45" s="274">
        <f>R45*K45</f>
        <v/>
      </c>
      <c r="CB45" s="274">
        <f>S45*K45*0.33</f>
        <v/>
      </c>
      <c r="CC45" s="274">
        <f>S45*K45</f>
        <v/>
      </c>
      <c r="CD45" s="274">
        <f>T45*K45*0.33</f>
        <v/>
      </c>
      <c r="CE45" s="274">
        <f>T45*K45</f>
        <v/>
      </c>
    </row>
    <row r="46" ht="63.75" customFormat="1" customHeight="1" s="274">
      <c r="A46" s="274" t="n">
        <v>43</v>
      </c>
      <c r="B46" s="273" t="inlineStr">
        <is>
          <t>Sağlık Hizmetleri</t>
        </is>
      </c>
      <c r="C46" s="273" t="inlineStr">
        <is>
          <t>Refah: İşletme içinde veya yakınındaki sağlık birimleri, periyodik kontroller ve acil müdahale imkanları.</t>
        </is>
      </c>
      <c r="D46" s="274">
        <f>ESG_FO_Makale!$G$18</f>
        <v/>
      </c>
      <c r="E46" s="274" t="n">
        <v>0.04000000000000001</v>
      </c>
      <c r="F46" s="274">
        <f>D46*E46</f>
        <v/>
      </c>
      <c r="G46" s="274">
        <f>ESG_FO_AnaBlok!$G$18</f>
        <v/>
      </c>
      <c r="H46" s="274">
        <f>S_AltGruplar!F$16</f>
        <v/>
      </c>
      <c r="I46" s="274">
        <f>S_CalismaKos!K27</f>
        <v/>
      </c>
      <c r="J46" s="274">
        <f>G46*H46*I46</f>
        <v/>
      </c>
      <c r="K46" s="274">
        <f>H46*I46</f>
        <v/>
      </c>
      <c r="L46" s="274" t="inlineStr">
        <is>
          <t>Çalışanlara sağlık hizmeti verilmekte; sigorta yapılmakta ve kurum doktoru bulunmaktadır.</t>
        </is>
      </c>
      <c r="M46" s="274" t="n">
        <v>5</v>
      </c>
      <c r="N46" s="274" t="inlineStr">
        <is>
          <t>Çalışanlara sağlık hizmeti verilmekte; sigorta yapılmakta ve kurum doktoru bulunmaktadır.</t>
        </is>
      </c>
      <c r="O46" s="275" t="n">
        <v>5</v>
      </c>
      <c r="P46" s="274" t="inlineStr">
        <is>
          <t>Çalışanlara sağlık hizmeti verilmekte; sigorta yapılmakta ve kurum doktoru bulunmaktadır.</t>
        </is>
      </c>
      <c r="Q46" s="274" t="n">
        <v>5</v>
      </c>
      <c r="R46" s="274">
        <f>100*(M46-1)/4</f>
        <v/>
      </c>
      <c r="S46" s="274">
        <f>100*(O46-1)/4</f>
        <v/>
      </c>
      <c r="T46" s="274">
        <f>100*(Q46-1)/4</f>
        <v/>
      </c>
      <c r="U46" s="274">
        <f>R46*J46</f>
        <v/>
      </c>
      <c r="V46" s="274">
        <f>R46*K46</f>
        <v/>
      </c>
      <c r="W46" s="274">
        <f>S46*$J46</f>
        <v/>
      </c>
      <c r="X46" s="274">
        <f>S46*K46</f>
        <v/>
      </c>
      <c r="Y46" s="274">
        <f>T46*$J46</f>
        <v/>
      </c>
      <c r="Z46" s="274">
        <f>T46*K46</f>
        <v/>
      </c>
      <c r="AA46" s="274">
        <f>R46*F46</f>
        <v/>
      </c>
      <c r="AB46" s="274">
        <f>R46*E46</f>
        <v/>
      </c>
      <c r="AC46" s="274">
        <f>S46*F46</f>
        <v/>
      </c>
      <c r="AD46" s="274">
        <f>S46*E46</f>
        <v/>
      </c>
      <c r="AE46" s="274">
        <f>T46*F46</f>
        <v/>
      </c>
      <c r="AF46" s="274">
        <f>T46*E46</f>
        <v/>
      </c>
      <c r="AG46" s="284">
        <f>R46*0.25*K46</f>
        <v/>
      </c>
      <c r="AH46" s="284">
        <f>K46*R46</f>
        <v/>
      </c>
      <c r="AI46" s="284">
        <f>S46*0.25*$K46</f>
        <v/>
      </c>
      <c r="AJ46" s="284">
        <f>S46*K46</f>
        <v/>
      </c>
      <c r="AK46" s="284">
        <f>T46*0.25*$K46</f>
        <v/>
      </c>
      <c r="AL46" s="284">
        <f>K46*T46</f>
        <v/>
      </c>
      <c r="AM46" s="284">
        <f>1/3</f>
        <v/>
      </c>
      <c r="AN46" s="274">
        <f>R46*I46*AM46*0.25</f>
        <v/>
      </c>
      <c r="AO46" s="274">
        <f>R46*I46*AM46</f>
        <v/>
      </c>
      <c r="AP46" s="274">
        <f>S46*I46*AM46*0.25</f>
        <v/>
      </c>
      <c r="AQ46" s="274">
        <f>S46*I46*AM46</f>
        <v/>
      </c>
      <c r="AR46" s="274">
        <f>T46*I46*AM46*0.25</f>
        <v/>
      </c>
      <c r="AS46" s="274">
        <f>T46*I46*AM46</f>
        <v/>
      </c>
      <c r="AT46" s="274">
        <f>1/8</f>
        <v/>
      </c>
      <c r="AU46" s="284">
        <f>AM46</f>
        <v/>
      </c>
      <c r="AV46" s="274">
        <f>R46*AT46*AU46*0.25</f>
        <v/>
      </c>
      <c r="AW46" s="274">
        <f>R46*AT46*AU46</f>
        <v/>
      </c>
      <c r="AX46" s="274">
        <f>S46*AT46*AU46*0.25</f>
        <v/>
      </c>
      <c r="AY46" s="274">
        <f>S46*AT46*AU46</f>
        <v/>
      </c>
      <c r="AZ46" s="274">
        <f>T46*AT46*AU46*0.25</f>
        <v/>
      </c>
      <c r="BA46" s="274">
        <f>T46*AT46*AU46</f>
        <v/>
      </c>
      <c r="BB46" s="274">
        <f>R46*K46*0.2</f>
        <v/>
      </c>
      <c r="BC46" s="274">
        <f>R46*K46</f>
        <v/>
      </c>
      <c r="BD46" s="274">
        <f>S46*K46*0.2</f>
        <v/>
      </c>
      <c r="BE46" s="274">
        <f>S46*K46</f>
        <v/>
      </c>
      <c r="BF46" s="288">
        <f>T46*K46*0.2</f>
        <v/>
      </c>
      <c r="BG46" s="308">
        <f>T46*K46</f>
        <v/>
      </c>
      <c r="BH46" s="308">
        <f>R46*K46*0.4</f>
        <v/>
      </c>
      <c r="BI46" s="308">
        <f>R46*K46</f>
        <v/>
      </c>
      <c r="BJ46" s="308">
        <f>S46*K46*0.4</f>
        <v/>
      </c>
      <c r="BK46" s="308">
        <f>S46*K46</f>
        <v/>
      </c>
      <c r="BL46" s="308">
        <f>T46*K46*0.4</f>
        <v/>
      </c>
      <c r="BM46" s="311">
        <f>T46*K46</f>
        <v/>
      </c>
      <c r="BN46" s="311">
        <f>R46*K46*0.2</f>
        <v/>
      </c>
      <c r="BO46" s="311">
        <f>K46*R46</f>
        <v/>
      </c>
      <c r="BP46" s="311">
        <f>S46*K46*0.2</f>
        <v/>
      </c>
      <c r="BQ46" s="311">
        <f>K46*S46</f>
        <v/>
      </c>
      <c r="BR46" s="311">
        <f>K46*T46*0.2</f>
        <v/>
      </c>
      <c r="BS46" s="270">
        <f>K46*T46</f>
        <v/>
      </c>
      <c r="BT46" s="270">
        <f>R46*K46*0.2</f>
        <v/>
      </c>
      <c r="BU46" s="270">
        <f>R46*K46</f>
        <v/>
      </c>
      <c r="BV46" s="270">
        <f>S46*K46*0.2</f>
        <v/>
      </c>
      <c r="BW46" s="270">
        <f>S46*K46</f>
        <v/>
      </c>
      <c r="BX46" s="270">
        <f>T46*K46*0.2</f>
        <v/>
      </c>
      <c r="BY46" s="270">
        <f>T46*K46</f>
        <v/>
      </c>
      <c r="BZ46" s="274">
        <f>R46*K46*0.33</f>
        <v/>
      </c>
      <c r="CA46" s="274">
        <f>R46*K46</f>
        <v/>
      </c>
      <c r="CB46" s="274">
        <f>S46*K46*0.33</f>
        <v/>
      </c>
      <c r="CC46" s="274">
        <f>S46*K46</f>
        <v/>
      </c>
      <c r="CD46" s="274">
        <f>T46*K46*0.33</f>
        <v/>
      </c>
      <c r="CE46" s="274">
        <f>T46*K46</f>
        <v/>
      </c>
    </row>
    <row r="47" ht="102" customFormat="1" customHeight="1" s="274">
      <c r="A47" s="274" t="n">
        <v>44</v>
      </c>
      <c r="B47" s="273" t="inlineStr">
        <is>
          <t>KKD</t>
        </is>
      </c>
      <c r="C47" s="273" t="inlineStr">
        <is>
          <t>Hayati Risk: Tarımda ilaçlama, gürültü ve toz maruziyeti yüksektir. KKD kullanımı sadece bir kural değil, "Kişisel Koruma"nın en somut ve denetlenebilir fiziksel kanıtıdır.</t>
        </is>
      </c>
      <c r="D47" s="274">
        <f>ESG_FO_Makale!$G$18</f>
        <v/>
      </c>
      <c r="E47" s="274" t="n">
        <v>0.1</v>
      </c>
      <c r="F47" s="274">
        <f>D47*E47</f>
        <v/>
      </c>
      <c r="G47" s="274">
        <f>ESG_FO_AnaBlok!$G$18</f>
        <v/>
      </c>
      <c r="H47" s="274">
        <f>S_AltGruplar!F$17</f>
        <v/>
      </c>
      <c r="I47" s="274">
        <f>S_ToplumKor!F15</f>
        <v/>
      </c>
      <c r="J47" s="274">
        <f>G47*H47*I47</f>
        <v/>
      </c>
      <c r="K47" s="274">
        <f>H47*I47</f>
        <v/>
      </c>
      <c r="L47" s="274" t="inlineStr">
        <is>
          <t>İSG kapsamında KKD personele verilmekte ve eğitimleri verilmekte ancak kayıtlarında aksaklıklar bulunmaktadır.</t>
        </is>
      </c>
      <c r="M47" s="274" t="n">
        <v>4</v>
      </c>
      <c r="N47" s="274" t="inlineStr">
        <is>
          <t>İSG kapsamında KKD personele verilmekte ve eğitimleri verilmekte ancak kayıtlarında aksaklıklar bulunmaktadır.</t>
        </is>
      </c>
      <c r="O47" s="275" t="n">
        <v>4</v>
      </c>
      <c r="P47" s="274" t="inlineStr">
        <is>
          <t>İSG kapsamında KKD personele verilmekte ve eğitimleri verilmekte ancak kayıtlarında aksaklıklar bulunmaktadır.</t>
        </is>
      </c>
      <c r="Q47" s="274" t="n">
        <v>4</v>
      </c>
      <c r="R47" s="274">
        <f>100*(M47-1)/4</f>
        <v/>
      </c>
      <c r="S47" s="274">
        <f>100*(O47-1)/4</f>
        <v/>
      </c>
      <c r="T47" s="274">
        <f>100*(Q47-1)/4</f>
        <v/>
      </c>
      <c r="U47" s="274">
        <f>R47*J47</f>
        <v/>
      </c>
      <c r="V47" s="274">
        <f>R47*K47</f>
        <v/>
      </c>
      <c r="W47" s="274">
        <f>S47*$J47</f>
        <v/>
      </c>
      <c r="X47" s="274">
        <f>S47*K47</f>
        <v/>
      </c>
      <c r="Y47" s="274">
        <f>T47*$J47</f>
        <v/>
      </c>
      <c r="Z47" s="274">
        <f>T47*K47</f>
        <v/>
      </c>
      <c r="AA47" s="274">
        <f>R47*F47</f>
        <v/>
      </c>
      <c r="AB47" s="274">
        <f>R47*E47</f>
        <v/>
      </c>
      <c r="AC47" s="274">
        <f>S47*F47</f>
        <v/>
      </c>
      <c r="AD47" s="274">
        <f>S47*E47</f>
        <v/>
      </c>
      <c r="AE47" s="274">
        <f>T47*F47</f>
        <v/>
      </c>
      <c r="AF47" s="274">
        <f>T47*E47</f>
        <v/>
      </c>
      <c r="AG47" s="284">
        <f>R47*0.25*K47</f>
        <v/>
      </c>
      <c r="AH47" s="284">
        <f>K47*R47</f>
        <v/>
      </c>
      <c r="AI47" s="284">
        <f>S47*0.25*$K47</f>
        <v/>
      </c>
      <c r="AJ47" s="284">
        <f>S47*K47</f>
        <v/>
      </c>
      <c r="AK47" s="284">
        <f>T47*0.25*$K47</f>
        <v/>
      </c>
      <c r="AL47" s="284">
        <f>K47*T47</f>
        <v/>
      </c>
      <c r="AM47" s="284">
        <f>1/3</f>
        <v/>
      </c>
      <c r="AN47" s="274">
        <f>R47*I47*AM47*0.25</f>
        <v/>
      </c>
      <c r="AO47" s="274">
        <f>R47*I47*AM47</f>
        <v/>
      </c>
      <c r="AP47" s="274">
        <f>S47*I47*AM47*0.25</f>
        <v/>
      </c>
      <c r="AQ47" s="274">
        <f>S47*I47*AM47</f>
        <v/>
      </c>
      <c r="AR47" s="274">
        <f>T47*I47*AM47*0.25</f>
        <v/>
      </c>
      <c r="AS47" s="274">
        <f>T47*I47*AM47</f>
        <v/>
      </c>
      <c r="AT47" s="274">
        <f>1/3</f>
        <v/>
      </c>
      <c r="AU47" s="284">
        <f>AM47</f>
        <v/>
      </c>
      <c r="AV47" s="274">
        <f>R47*AT47*AU47*0.25</f>
        <v/>
      </c>
      <c r="AW47" s="274">
        <f>R47*AT47*AU47</f>
        <v/>
      </c>
      <c r="AX47" s="274">
        <f>S47*AT47*AU47*0.25</f>
        <v/>
      </c>
      <c r="AY47" s="274">
        <f>S47*AT47*AU47</f>
        <v/>
      </c>
      <c r="AZ47" s="274">
        <f>T47*AT47*AU47*0.25</f>
        <v/>
      </c>
      <c r="BA47" s="274">
        <f>T47*AT47*AU47</f>
        <v/>
      </c>
      <c r="BB47" s="274">
        <f>R47*K47*0.2</f>
        <v/>
      </c>
      <c r="BC47" s="274">
        <f>R47*K47</f>
        <v/>
      </c>
      <c r="BD47" s="274">
        <f>S47*K47*0.2</f>
        <v/>
      </c>
      <c r="BE47" s="274">
        <f>S47*K47</f>
        <v/>
      </c>
      <c r="BF47" s="288">
        <f>T47*K47*0.2</f>
        <v/>
      </c>
      <c r="BG47" s="308">
        <f>T47*K47</f>
        <v/>
      </c>
      <c r="BH47" s="308">
        <f>R47*K47*0.4</f>
        <v/>
      </c>
      <c r="BI47" s="308">
        <f>R47*K47</f>
        <v/>
      </c>
      <c r="BJ47" s="308">
        <f>S47*K47*0.4</f>
        <v/>
      </c>
      <c r="BK47" s="308">
        <f>S47*K47</f>
        <v/>
      </c>
      <c r="BL47" s="308">
        <f>T47*K47*0.4</f>
        <v/>
      </c>
      <c r="BM47" s="311">
        <f>T47*K47</f>
        <v/>
      </c>
      <c r="BN47" s="311">
        <f>R47*K47*0.2</f>
        <v/>
      </c>
      <c r="BO47" s="311">
        <f>K47*R47</f>
        <v/>
      </c>
      <c r="BP47" s="311">
        <f>S47*K47*0.2</f>
        <v/>
      </c>
      <c r="BQ47" s="311">
        <f>K47*S47</f>
        <v/>
      </c>
      <c r="BR47" s="311">
        <f>K47*T47*0.2</f>
        <v/>
      </c>
      <c r="BS47" s="270">
        <f>K47*T47</f>
        <v/>
      </c>
      <c r="BT47" s="270">
        <f>R47*K47*0.2</f>
        <v/>
      </c>
      <c r="BU47" s="270">
        <f>R47*K47</f>
        <v/>
      </c>
      <c r="BV47" s="270">
        <f>S47*K47*0.2</f>
        <v/>
      </c>
      <c r="BW47" s="270">
        <f>S47*K47</f>
        <v/>
      </c>
      <c r="BX47" s="270">
        <f>T47*K47*0.2</f>
        <v/>
      </c>
      <c r="BY47" s="270">
        <f>T47*K47</f>
        <v/>
      </c>
      <c r="BZ47" s="274">
        <f>R47*K47*0.33</f>
        <v/>
      </c>
      <c r="CA47" s="274">
        <f>R47*K47</f>
        <v/>
      </c>
      <c r="CB47" s="274">
        <f>S47*K47*0.33</f>
        <v/>
      </c>
      <c r="CC47" s="274">
        <f>S47*K47</f>
        <v/>
      </c>
      <c r="CD47" s="274">
        <f>T47*K47*0.33</f>
        <v/>
      </c>
      <c r="CE47" s="274">
        <f>T47*K47</f>
        <v/>
      </c>
    </row>
    <row r="48" ht="105" customFormat="1" customHeight="1" s="274">
      <c r="A48" s="274" t="n">
        <v>45</v>
      </c>
      <c r="B48" s="273" t="inlineStr">
        <is>
          <t>Yerel Topluluklara fayda</t>
        </is>
      </c>
      <c r="C48" s="273" t="inlineStr">
        <is>
          <t>Kamu Misyonu: TİGEM'in çevre köylere sağladığı tohum desteği, eğitimler veya sosyal tesis imkanlarıdır. İşletmenin "sosyal onay" (social license) almasını sağlar.</t>
        </is>
      </c>
      <c r="D48" s="274">
        <f>ESG_FO_Makale!$G$18</f>
        <v/>
      </c>
      <c r="E48" s="274" t="n">
        <v>0.0625</v>
      </c>
      <c r="F48" s="274">
        <f>D48*E48</f>
        <v/>
      </c>
      <c r="G48" s="274">
        <f>ESG_FO_AnaBlok!$G$18</f>
        <v/>
      </c>
      <c r="H48" s="274">
        <f>S_AltGruplar!F$17</f>
        <v/>
      </c>
      <c r="I48" s="274">
        <f>S_ToplumKor!F16</f>
        <v/>
      </c>
      <c r="J48" s="274">
        <f>G48*H48*I48</f>
        <v/>
      </c>
      <c r="K48" s="274">
        <f>H48*I48</f>
        <v/>
      </c>
      <c r="L48" s="274" t="inlineStr">
        <is>
          <t>3.488 kişilik devasa istihdam hacmi, bünyesindeki Ceylan koruma alanı ve sınır güvenliğine katkısı ile bölgeye önemli düzeyde sosyo-ekonomik katkı sağlamaktadır.</t>
        </is>
      </c>
      <c r="M48" s="274" t="n">
        <v>5</v>
      </c>
      <c r="N48" s="274" t="inlineStr">
        <is>
          <t xml:space="preserve">İyi Tarım Uygulamaları ve at yetiştiriciliği yoluyla bölgesel teknik bilgi ve genetik kaynak katkısı sağlandığı, ayrıca mera varlığının bulunduğu bildirilmiştir. </t>
        </is>
      </c>
      <c r="O48" s="275" t="n">
        <v>4</v>
      </c>
      <c r="P48" s="285" t="inlineStr">
        <is>
          <t>%37’lik tabi mera varlığı ile bölge hayvancılığına genetik ve alan desteği sağlamakta, düşük kaza oranıyla güvenli bir yerel çalışma ortamı sunmaktadır.</t>
        </is>
      </c>
      <c r="Q48" s="274" t="n">
        <v>4</v>
      </c>
      <c r="R48" s="274">
        <f>100*(M48-1)/4</f>
        <v/>
      </c>
      <c r="S48" s="274">
        <f>100*(O48-1)/4</f>
        <v/>
      </c>
      <c r="T48" s="274">
        <f>100*(Q48-1)/4</f>
        <v/>
      </c>
      <c r="U48" s="274">
        <f>R48*J48</f>
        <v/>
      </c>
      <c r="V48" s="274">
        <f>R48*K48</f>
        <v/>
      </c>
      <c r="W48" s="274">
        <f>S48*$J48</f>
        <v/>
      </c>
      <c r="X48" s="274">
        <f>S48*K48</f>
        <v/>
      </c>
      <c r="Y48" s="274">
        <f>T48*$J48</f>
        <v/>
      </c>
      <c r="Z48" s="274">
        <f>T48*K48</f>
        <v/>
      </c>
      <c r="AA48" s="274">
        <f>R48*F48</f>
        <v/>
      </c>
      <c r="AB48" s="274">
        <f>R48*E48</f>
        <v/>
      </c>
      <c r="AC48" s="274">
        <f>S48*F48</f>
        <v/>
      </c>
      <c r="AD48" s="274">
        <f>S48*E48</f>
        <v/>
      </c>
      <c r="AE48" s="274">
        <f>T48*F48</f>
        <v/>
      </c>
      <c r="AF48" s="274">
        <f>T48*E48</f>
        <v/>
      </c>
      <c r="AG48" s="284">
        <f>R48*0.25*K48</f>
        <v/>
      </c>
      <c r="AH48" s="284">
        <f>K48*R48</f>
        <v/>
      </c>
      <c r="AI48" s="284">
        <f>S48*0.25*$K48</f>
        <v/>
      </c>
      <c r="AJ48" s="284">
        <f>S48*K48</f>
        <v/>
      </c>
      <c r="AK48" s="284">
        <f>T48*0.25*$K48</f>
        <v/>
      </c>
      <c r="AL48" s="284">
        <f>K48*T48</f>
        <v/>
      </c>
      <c r="AM48" s="284">
        <f>1/3</f>
        <v/>
      </c>
      <c r="AN48" s="274">
        <f>R48*I48*AM48*0.25</f>
        <v/>
      </c>
      <c r="AO48" s="274">
        <f>R48*I48*AM48</f>
        <v/>
      </c>
      <c r="AP48" s="274">
        <f>S48*I48*AM48*0.25</f>
        <v/>
      </c>
      <c r="AQ48" s="274">
        <f>S48*I48*AM48</f>
        <v/>
      </c>
      <c r="AR48" s="274">
        <f>T48*I48*AM48*0.25</f>
        <v/>
      </c>
      <c r="AS48" s="274">
        <f>T48*I48*AM48</f>
        <v/>
      </c>
      <c r="AT48" s="274">
        <f>1/3</f>
        <v/>
      </c>
      <c r="AU48" s="284">
        <f>AM48</f>
        <v/>
      </c>
      <c r="AV48" s="274">
        <f>R48*AT48*AU48*0.25</f>
        <v/>
      </c>
      <c r="AW48" s="274">
        <f>R48*AT48*AU48</f>
        <v/>
      </c>
      <c r="AX48" s="274">
        <f>S48*AT48*AU48*0.25</f>
        <v/>
      </c>
      <c r="AY48" s="274">
        <f>S48*AT48*AU48</f>
        <v/>
      </c>
      <c r="AZ48" s="274">
        <f>T48*AT48*AU48*0.25</f>
        <v/>
      </c>
      <c r="BA48" s="274">
        <f>T48*AT48*AU48</f>
        <v/>
      </c>
      <c r="BB48" s="274">
        <f>R48*K48*0.2</f>
        <v/>
      </c>
      <c r="BC48" s="274">
        <f>R48*K48</f>
        <v/>
      </c>
      <c r="BD48" s="274">
        <f>S48*K48*0.2</f>
        <v/>
      </c>
      <c r="BE48" s="274">
        <f>S48*K48</f>
        <v/>
      </c>
      <c r="BF48" s="288">
        <f>T48*K48*0.2</f>
        <v/>
      </c>
      <c r="BG48" s="308">
        <f>T48*K48</f>
        <v/>
      </c>
      <c r="BH48" s="308">
        <f>R48*K48*0.4</f>
        <v/>
      </c>
      <c r="BI48" s="308">
        <f>R48*K48</f>
        <v/>
      </c>
      <c r="BJ48" s="308">
        <f>S48*K48*0.4</f>
        <v/>
      </c>
      <c r="BK48" s="308">
        <f>S48*K48</f>
        <v/>
      </c>
      <c r="BL48" s="308">
        <f>T48*K48*0.4</f>
        <v/>
      </c>
      <c r="BM48" s="311">
        <f>T48*K48</f>
        <v/>
      </c>
      <c r="BN48" s="311">
        <f>R48*K48*0.2</f>
        <v/>
      </c>
      <c r="BO48" s="311">
        <f>K48*R48</f>
        <v/>
      </c>
      <c r="BP48" s="311">
        <f>S48*K48*0.2</f>
        <v/>
      </c>
      <c r="BQ48" s="311">
        <f>K48*S48</f>
        <v/>
      </c>
      <c r="BR48" s="311">
        <f>K48*T48*0.2</f>
        <v/>
      </c>
      <c r="BS48" s="270">
        <f>K48*T48</f>
        <v/>
      </c>
      <c r="BT48" s="270">
        <f>R48*K48*0.2</f>
        <v/>
      </c>
      <c r="BU48" s="270">
        <f>R48*K48</f>
        <v/>
      </c>
      <c r="BV48" s="270">
        <f>S48*K48*0.2</f>
        <v/>
      </c>
      <c r="BW48" s="270">
        <f>S48*K48</f>
        <v/>
      </c>
      <c r="BX48" s="270">
        <f>T48*K48*0.2</f>
        <v/>
      </c>
      <c r="BY48" s="270">
        <f>T48*K48</f>
        <v/>
      </c>
      <c r="BZ48" s="274">
        <f>R48*K48*0.33</f>
        <v/>
      </c>
      <c r="CA48" s="274">
        <f>R48*K48</f>
        <v/>
      </c>
      <c r="CB48" s="274">
        <f>S48*K48*0.33</f>
        <v/>
      </c>
      <c r="CC48" s="274">
        <f>S48*K48</f>
        <v/>
      </c>
      <c r="CD48" s="274">
        <f>T48*K48*0.33</f>
        <v/>
      </c>
      <c r="CE48" s="274">
        <f>T48*K48</f>
        <v/>
      </c>
    </row>
    <row r="49" ht="120" customFormat="1" customHeight="1" s="274">
      <c r="A49" s="274" t="n">
        <v>46</v>
      </c>
      <c r="B49" s="273" t="inlineStr">
        <is>
          <t>Mesleki eğitimler</t>
        </is>
      </c>
      <c r="C49" s="273" t="inlineStr">
        <is>
          <t>Yetenek ve Güvenlik: Personelin modern tarım teknikleri, İSG ve makine kullanımı konusundaki yetkinliğidir. Bilinçli çalışan, hem kendini hem de işletme varlıklarını korur.</t>
        </is>
      </c>
      <c r="D49" s="274">
        <f>ESG_FO_Makale!$G$18</f>
        <v/>
      </c>
      <c r="E49" s="274" t="n">
        <v>0.08749999999999999</v>
      </c>
      <c r="F49" s="274">
        <f>D49*E49</f>
        <v/>
      </c>
      <c r="G49" s="274">
        <f>ESG_FO_AnaBlok!$G$18</f>
        <v/>
      </c>
      <c r="H49" s="274">
        <f>S_AltGruplar!F$17</f>
        <v/>
      </c>
      <c r="I49" s="274">
        <f>S_ToplumKor!F17</f>
        <v/>
      </c>
      <c r="J49" s="274">
        <f>G49*H49*I49</f>
        <v/>
      </c>
      <c r="K49" s="274">
        <f>H49*I49</f>
        <v/>
      </c>
      <c r="L49" s="274" t="inlineStr">
        <is>
          <t>Kurum genelinde mesleki eğitim ihtiyacı program dahilinde belirlenmekte; danışman hocalar ile sözleşmeler imzalanarak danışmanlık alınmakta; ani gelişen eğitim ihtiyaçları da karşılanmaktadır.</t>
        </is>
      </c>
      <c r="M49" s="274" t="n">
        <v>4</v>
      </c>
      <c r="N49" s="274" t="inlineStr">
        <is>
          <t>Kurum genelinde mesleki eğitim ihtiyacı program dahilinde belirlenmekte; danışman hocalar ile sözleşmeler imzalanarak danışmanlık alınmakta; ani gelişen eğitim ihtiyaçları da karşılanmaktadır.</t>
        </is>
      </c>
      <c r="O49" s="275" t="n">
        <v>4</v>
      </c>
      <c r="P49" s="274" t="inlineStr">
        <is>
          <t>Kurum genelinde mesleki eğitim ihtiyacı program dahilinde belirlenmekte; danışman hocalar ile sözleşmeler imzalanarak danışmanlık alınmakta; ani gelişen eğitim ihtiyaçları da karşılanmaktadır.</t>
        </is>
      </c>
      <c r="Q49" s="274" t="n">
        <v>4</v>
      </c>
      <c r="R49" s="274">
        <f>100*(M49-1)/4</f>
        <v/>
      </c>
      <c r="S49" s="274">
        <f>100*(O49-1)/4</f>
        <v/>
      </c>
      <c r="T49" s="274">
        <f>100*(Q49-1)/4</f>
        <v/>
      </c>
      <c r="U49" s="274">
        <f>R49*J49</f>
        <v/>
      </c>
      <c r="V49" s="274">
        <f>R49*K49</f>
        <v/>
      </c>
      <c r="W49" s="274">
        <f>S49*$J49</f>
        <v/>
      </c>
      <c r="X49" s="274">
        <f>S49*K49</f>
        <v/>
      </c>
      <c r="Y49" s="274">
        <f>T49*$J49</f>
        <v/>
      </c>
      <c r="Z49" s="274">
        <f>T49*K49</f>
        <v/>
      </c>
      <c r="AA49" s="274">
        <f>R49*F49</f>
        <v/>
      </c>
      <c r="AB49" s="274">
        <f>R49*E49</f>
        <v/>
      </c>
      <c r="AC49" s="274">
        <f>S49*F49</f>
        <v/>
      </c>
      <c r="AD49" s="274">
        <f>S49*E49</f>
        <v/>
      </c>
      <c r="AE49" s="274">
        <f>T49*F49</f>
        <v/>
      </c>
      <c r="AF49" s="274">
        <f>T49*E49</f>
        <v/>
      </c>
      <c r="AG49" s="284">
        <f>R49*0.25*K49</f>
        <v/>
      </c>
      <c r="AH49" s="284">
        <f>K49*R49</f>
        <v/>
      </c>
      <c r="AI49" s="284">
        <f>S49*0.25*$K49</f>
        <v/>
      </c>
      <c r="AJ49" s="284">
        <f>S49*K49</f>
        <v/>
      </c>
      <c r="AK49" s="284">
        <f>T49*0.25*$K49</f>
        <v/>
      </c>
      <c r="AL49" s="284">
        <f>K49*T49</f>
        <v/>
      </c>
      <c r="AM49" s="284">
        <f>1/3</f>
        <v/>
      </c>
      <c r="AN49" s="274">
        <f>R49*I49*AM49*0.25</f>
        <v/>
      </c>
      <c r="AO49" s="274">
        <f>R49*I49*AM49</f>
        <v/>
      </c>
      <c r="AP49" s="274">
        <f>S49*I49*AM49*0.25</f>
        <v/>
      </c>
      <c r="AQ49" s="274">
        <f>S49*I49*AM49</f>
        <v/>
      </c>
      <c r="AR49" s="274">
        <f>T49*I49*AM49*0.25</f>
        <v/>
      </c>
      <c r="AS49" s="274">
        <f>T49*I49*AM49</f>
        <v/>
      </c>
      <c r="AT49" s="274">
        <f>1/3</f>
        <v/>
      </c>
      <c r="AU49" s="284">
        <f>AM49</f>
        <v/>
      </c>
      <c r="AV49" s="274">
        <f>R49*AT49*AU49*0.25</f>
        <v/>
      </c>
      <c r="AW49" s="274">
        <f>R49*AT49*AU49</f>
        <v/>
      </c>
      <c r="AX49" s="274">
        <f>S49*AT49*AU49*0.25</f>
        <v/>
      </c>
      <c r="AY49" s="274">
        <f>S49*AT49*AU49</f>
        <v/>
      </c>
      <c r="AZ49" s="274">
        <f>T49*AT49*AU49*0.25</f>
        <v/>
      </c>
      <c r="BA49" s="274">
        <f>T49*AT49*AU49</f>
        <v/>
      </c>
      <c r="BB49" s="274">
        <f>R49*K49*0.2</f>
        <v/>
      </c>
      <c r="BC49" s="274">
        <f>R49*K49</f>
        <v/>
      </c>
      <c r="BD49" s="274">
        <f>S49*K49*0.2</f>
        <v/>
      </c>
      <c r="BE49" s="274">
        <f>S49*K49</f>
        <v/>
      </c>
      <c r="BF49" s="288">
        <f>T49*K49*0.2</f>
        <v/>
      </c>
      <c r="BG49" s="308">
        <f>T49*K49</f>
        <v/>
      </c>
      <c r="BH49" s="308">
        <f>R49*K49*0.4</f>
        <v/>
      </c>
      <c r="BI49" s="308">
        <f>R49*K49</f>
        <v/>
      </c>
      <c r="BJ49" s="308">
        <f>S49*K49*0.4</f>
        <v/>
      </c>
      <c r="BK49" s="308">
        <f>S49*K49</f>
        <v/>
      </c>
      <c r="BL49" s="308">
        <f>T49*K49*0.4</f>
        <v/>
      </c>
      <c r="BM49" s="311">
        <f>T49*K49</f>
        <v/>
      </c>
      <c r="BN49" s="311">
        <f>R49*K49*0.2</f>
        <v/>
      </c>
      <c r="BO49" s="311">
        <f>K49*R49</f>
        <v/>
      </c>
      <c r="BP49" s="311">
        <f>S49*K49*0.2</f>
        <v/>
      </c>
      <c r="BQ49" s="311">
        <f>K49*S49</f>
        <v/>
      </c>
      <c r="BR49" s="311">
        <f>K49*T49*0.2</f>
        <v/>
      </c>
      <c r="BS49" s="270">
        <f>K49*T49</f>
        <v/>
      </c>
      <c r="BT49" s="270">
        <f>R49*K49*0.2</f>
        <v/>
      </c>
      <c r="BU49" s="270">
        <f>R49*K49</f>
        <v/>
      </c>
      <c r="BV49" s="270">
        <f>S49*K49*0.2</f>
        <v/>
      </c>
      <c r="BW49" s="270">
        <f>S49*K49</f>
        <v/>
      </c>
      <c r="BX49" s="270">
        <f>T49*K49*0.2</f>
        <v/>
      </c>
      <c r="BY49" s="270">
        <f>T49*K49</f>
        <v/>
      </c>
      <c r="BZ49" s="274">
        <f>R49*K49*0.33</f>
        <v/>
      </c>
      <c r="CA49" s="274">
        <f>R49*K49</f>
        <v/>
      </c>
      <c r="CB49" s="274">
        <f>S49*K49*0.33</f>
        <v/>
      </c>
      <c r="CC49" s="274">
        <f>S49*K49</f>
        <v/>
      </c>
      <c r="CD49" s="274">
        <f>T49*K49*0.33</f>
        <v/>
      </c>
      <c r="CE49" s="274">
        <f>T49*K49</f>
        <v/>
      </c>
    </row>
    <row r="50" ht="120" customFormat="1" customHeight="1" s="277">
      <c r="A50" s="277" t="n">
        <v>47</v>
      </c>
      <c r="B50" s="276" t="inlineStr">
        <is>
          <t>İşletme Genel Bilgileri (kuruluş tarihçesi, coğrafi konum, büyüklük, ürün çeşidi)</t>
        </is>
      </c>
      <c r="C50" s="276" t="inlineStr">
        <is>
          <t>Bağlam: İşletmenin kapasitesini ve kapasitesini tanımlayan arka plan bilgisi.</t>
        </is>
      </c>
      <c r="D50" s="277">
        <f>ESG_FO_Makale!$G$19</f>
        <v/>
      </c>
      <c r="E50" s="277" t="n">
        <v>0.03</v>
      </c>
      <c r="F50" s="277">
        <f>D50*E50</f>
        <v/>
      </c>
      <c r="G50" s="277">
        <f>ESG_FO_AnaBlok!$G$19</f>
        <v/>
      </c>
      <c r="H50" s="277">
        <f>G_AltGruplar!$E$14</f>
        <v/>
      </c>
      <c r="I50" s="277">
        <f>G_UyumPolit!O24</f>
        <v/>
      </c>
      <c r="J50" s="277">
        <f>G50*H50*I50</f>
        <v/>
      </c>
      <c r="K50" s="277">
        <f>H50*I50</f>
        <v/>
      </c>
      <c r="L50" s="277" t="inlineStr">
        <is>
          <t>1937'den bu yana devam eden kurumsal hafıza, 64 km'lik sınır hattı ile stratejik gıda güvenliği konumu ve yaklaşık 1,6 milton dekar arazi varlığı bulunmaktadır</t>
        </is>
      </c>
      <c r="M50" s="277" t="n">
        <v>5</v>
      </c>
      <c r="N50" s="277" t="inlineStr">
        <is>
          <t>1300 yılına (Çiftlikat-ı Hümayun) dayanan tarihi  "kurumsal süreklilik" puanına yukarı taşımaktadır. Marmara Bölgesi'ndeki lojistik avantajı stratejik katkı sağlamaktadır.Yaklaşık 89 bin dekar araziye sahiptir.</t>
        </is>
      </c>
      <c r="O50" s="278" t="n">
        <v>5</v>
      </c>
      <c r="P50" s="277" t="inlineStr">
        <is>
          <t>1950'lerden beri süregelen devlet çiftliği yapısı ve Konya Havzası gibi kritik bir tarım merkezinde (Sarayönü) yer alması ile öne çıkmaktadır.Yaklaşık 288 bin dekar arazi varlığına sahiptir.</t>
        </is>
      </c>
      <c r="Q50" s="277" t="n">
        <v>4</v>
      </c>
      <c r="R50" s="277">
        <f>100*(M50-1)/4</f>
        <v/>
      </c>
      <c r="S50" s="277">
        <f>100*(O50-1)/4</f>
        <v/>
      </c>
      <c r="T50" s="277">
        <f>100*(Q50-1)/4</f>
        <v/>
      </c>
      <c r="U50" s="277">
        <f>R50*J50</f>
        <v/>
      </c>
      <c r="V50" s="277">
        <f>R50*K50</f>
        <v/>
      </c>
      <c r="W50" s="277">
        <f>S50*$J50</f>
        <v/>
      </c>
      <c r="X50" s="277">
        <f>S50*K50</f>
        <v/>
      </c>
      <c r="Y50" s="277">
        <f>T50*$J50</f>
        <v/>
      </c>
      <c r="Z50" s="277">
        <f>T50*K50</f>
        <v/>
      </c>
      <c r="AA50" s="277">
        <f>R50*F50</f>
        <v/>
      </c>
      <c r="AB50" s="277">
        <f>R50*E50</f>
        <v/>
      </c>
      <c r="AC50" s="277">
        <f>S50*F50</f>
        <v/>
      </c>
      <c r="AD50" s="277">
        <f>S50*E50</f>
        <v/>
      </c>
      <c r="AE50" s="277">
        <f>T50*F50</f>
        <v/>
      </c>
      <c r="AF50" s="277">
        <f>T50*E50</f>
        <v/>
      </c>
      <c r="AG50" s="286">
        <f>R50*0.25*K50</f>
        <v/>
      </c>
      <c r="AH50" s="286">
        <f>K50*R50</f>
        <v/>
      </c>
      <c r="AI50" s="286">
        <f>S50*0.25*$K50</f>
        <v/>
      </c>
      <c r="AJ50" s="286">
        <f>S50*K50</f>
        <v/>
      </c>
      <c r="AK50" s="286">
        <f>T50*0.25*$K50</f>
        <v/>
      </c>
      <c r="AL50" s="286">
        <f>K50*T50</f>
        <v/>
      </c>
      <c r="AM50" s="286">
        <f>1/2</f>
        <v/>
      </c>
      <c r="AN50" s="277">
        <f>R50*I50*AM50*0.25</f>
        <v/>
      </c>
      <c r="AO50" s="277">
        <f>R50*I50*AM50</f>
        <v/>
      </c>
      <c r="AP50" s="277">
        <f>S50*I50*AM50*0.25</f>
        <v/>
      </c>
      <c r="AQ50" s="277">
        <f>S50*I50*AM50</f>
        <v/>
      </c>
      <c r="AR50" s="277">
        <f>T50*I50*AM50*0.25</f>
        <v/>
      </c>
      <c r="AS50" s="277">
        <f>T50*I50*AM50</f>
        <v/>
      </c>
      <c r="AT50" s="277">
        <f>1/12</f>
        <v/>
      </c>
      <c r="AU50" s="277">
        <f>0.5</f>
        <v/>
      </c>
      <c r="AV50" s="277">
        <f>R50*AT50*AU50*0.25</f>
        <v/>
      </c>
      <c r="AW50" s="277">
        <f>R50*AT50*AU50</f>
        <v/>
      </c>
      <c r="AX50" s="277">
        <f>S50*AT50*AU50*0.25</f>
        <v/>
      </c>
      <c r="AY50" s="277">
        <f>S50*AT50*AU50</f>
        <v/>
      </c>
      <c r="AZ50" s="277">
        <f>T50*AT50*AU50*0.25</f>
        <v/>
      </c>
      <c r="BA50" s="277">
        <f>T50*AT50*AU50</f>
        <v/>
      </c>
      <c r="BB50" s="277">
        <f>R50*K50*0.2</f>
        <v/>
      </c>
      <c r="BC50" s="277">
        <f>R50*K50</f>
        <v/>
      </c>
      <c r="BD50" s="274">
        <f>S50*K50*0.2</f>
        <v/>
      </c>
      <c r="BE50" s="277">
        <f>S50*K50</f>
        <v/>
      </c>
      <c r="BF50" s="288">
        <f>T50*K50*0.2</f>
        <v/>
      </c>
      <c r="BG50" s="308">
        <f>T50*K50</f>
        <v/>
      </c>
      <c r="BH50" s="308">
        <f>R50*K50*0.2</f>
        <v/>
      </c>
      <c r="BI50" s="308">
        <f>R50*K50</f>
        <v/>
      </c>
      <c r="BJ50" s="308">
        <f>S50*K50*0.2</f>
        <v/>
      </c>
      <c r="BK50" s="308">
        <f>S50*K50</f>
        <v/>
      </c>
      <c r="BL50" s="308">
        <f>T50*K50*0.2</f>
        <v/>
      </c>
      <c r="BM50" s="311">
        <f>T50*K50</f>
        <v/>
      </c>
      <c r="BN50" s="311">
        <f>R50*K50*0.4</f>
        <v/>
      </c>
      <c r="BO50" s="311">
        <f>K50*R50</f>
        <v/>
      </c>
      <c r="BP50" s="311">
        <f>S50*K50*0.4</f>
        <v/>
      </c>
      <c r="BQ50" s="311">
        <f>K50*S50</f>
        <v/>
      </c>
      <c r="BR50" s="311">
        <f>K50*T50*0.4</f>
        <v/>
      </c>
      <c r="BS50" s="270">
        <f>K50*T50</f>
        <v/>
      </c>
      <c r="BT50" s="270">
        <f>R50*K50*0.2</f>
        <v/>
      </c>
      <c r="BU50" s="270">
        <f>R50*K50</f>
        <v/>
      </c>
      <c r="BV50" s="270">
        <f>S50*K50*0.2</f>
        <v/>
      </c>
      <c r="BW50" s="270">
        <f>S50*K50</f>
        <v/>
      </c>
      <c r="BX50" s="270">
        <f>T50*K50*0.2</f>
        <v/>
      </c>
      <c r="BY50" s="270">
        <f>T50*K50</f>
        <v/>
      </c>
      <c r="BZ50" s="274">
        <f>R50*K50*0.33</f>
        <v/>
      </c>
      <c r="CA50" s="274">
        <f>R50*K50</f>
        <v/>
      </c>
      <c r="CB50" s="274">
        <f>S50*K50*0.33</f>
        <v/>
      </c>
      <c r="CC50" s="274">
        <f>S50*K50</f>
        <v/>
      </c>
      <c r="CD50" s="274">
        <f>T50*K50*0.33</f>
        <v/>
      </c>
      <c r="CE50" s="274">
        <f>T50*K50</f>
        <v/>
      </c>
    </row>
    <row r="51" ht="150" customFormat="1" customHeight="1" s="277">
      <c r="A51" s="277" t="n">
        <v>48</v>
      </c>
      <c r="B51" s="276" t="inlineStr">
        <is>
          <t>Ürün çeşitliliği</t>
        </is>
      </c>
      <c r="C51" s="276" t="inlineStr">
        <is>
          <t>Dirençlilik: Pazar ve iklim değişimlerine karşı ürün desenini yönetebilme yeteneği.</t>
        </is>
      </c>
      <c r="D51" s="277">
        <f>ESG_FO_Makale!$G$19</f>
        <v/>
      </c>
      <c r="E51" s="277" t="n">
        <v>0.042</v>
      </c>
      <c r="F51" s="277">
        <f>D51*E51</f>
        <v/>
      </c>
      <c r="G51" s="277">
        <f>ESG_FO_AnaBlok!$G$19</f>
        <v/>
      </c>
      <c r="H51" s="277">
        <f>G_AltGruplar!$E$14</f>
        <v/>
      </c>
      <c r="I51" s="277">
        <f>G_UyumPolit!O25</f>
        <v/>
      </c>
      <c r="J51" s="277">
        <f>G51*H51*I51</f>
        <v/>
      </c>
      <c r="K51" s="277">
        <f>H51*I51</f>
        <v/>
      </c>
      <c r="L51" s="277" t="inlineStr">
        <is>
          <t>Hububat ve baklagillerin yanı sıra sığır, koyun, keçi ve ceylan varlığı, işletmenin bitkisel ve hayvansal üretim bakımından geniş bir faaliyet portföyüne sahip olduğunu göstermektedir. Bu çeşitlilik, tek ürüne bağımlılığı azaltabilecek bir unsur olarak değerlendirilmiştir.</t>
        </is>
      </c>
      <c r="M51" s="277" t="n">
        <v>5</v>
      </c>
      <c r="N51" s="277" t="inlineStr">
        <is>
          <t xml:space="preserve">Hibrit mısır ve sebze tohumculuğu ile atçılık ve genetik kaynak faaliyetlerinin birlikte yürütülmesi, ürün ve üretim alanlarının çeşitlendirildiğini göstermektedir. </t>
        </is>
      </c>
      <c r="O51" s="278" t="n">
        <v>5</v>
      </c>
      <c r="P51" s="277" t="inlineStr">
        <is>
          <t>Patates ve hibrit ayçiçeği gibi belirli ürün grupları ile farklı koyun ırklarının bulunması, bitkisel ve hayvansal üretimde belirli bir çeşitlilik sağlamaktadır. Bununla birlikte, üretim portföyünün daha sınırlı olması nedeniyle puan 4 olarak değerlendirilmiştir.</t>
        </is>
      </c>
      <c r="Q51" s="277" t="n">
        <v>4</v>
      </c>
      <c r="R51" s="277">
        <f>100*(M51-1)/4</f>
        <v/>
      </c>
      <c r="S51" s="277">
        <f>100*(O51-1)/4</f>
        <v/>
      </c>
      <c r="T51" s="277">
        <f>100*(Q51-1)/4</f>
        <v/>
      </c>
      <c r="U51" s="277">
        <f>R51*J51</f>
        <v/>
      </c>
      <c r="V51" s="277">
        <f>R51*K51</f>
        <v/>
      </c>
      <c r="W51" s="277">
        <f>S51*$J51</f>
        <v/>
      </c>
      <c r="X51" s="277">
        <f>S51*K51</f>
        <v/>
      </c>
      <c r="Y51" s="277">
        <f>T51*$J51</f>
        <v/>
      </c>
      <c r="Z51" s="277">
        <f>T51*K51</f>
        <v/>
      </c>
      <c r="AA51" s="277">
        <f>R51*F51</f>
        <v/>
      </c>
      <c r="AB51" s="277">
        <f>R51*E51</f>
        <v/>
      </c>
      <c r="AC51" s="277">
        <f>S51*F51</f>
        <v/>
      </c>
      <c r="AD51" s="277">
        <f>S51*E51</f>
        <v/>
      </c>
      <c r="AE51" s="277">
        <f>T51*F51</f>
        <v/>
      </c>
      <c r="AF51" s="277">
        <f>T51*E51</f>
        <v/>
      </c>
      <c r="AG51" s="286">
        <f>R51*0.25*K51</f>
        <v/>
      </c>
      <c r="AH51" s="286">
        <f>K51*R51</f>
        <v/>
      </c>
      <c r="AI51" s="286">
        <f>S51*0.25*$K51</f>
        <v/>
      </c>
      <c r="AJ51" s="286">
        <f>S51*K51</f>
        <v/>
      </c>
      <c r="AK51" s="286">
        <f>T51*0.25*$K51</f>
        <v/>
      </c>
      <c r="AL51" s="286">
        <f>K51*T51</f>
        <v/>
      </c>
      <c r="AM51" s="286">
        <f>1/2</f>
        <v/>
      </c>
      <c r="AN51" s="277">
        <f>R51*I51*AM51*0.25</f>
        <v/>
      </c>
      <c r="AO51" s="277">
        <f>R51*I51*AM51</f>
        <v/>
      </c>
      <c r="AP51" s="277">
        <f>S51*I51*AM51*0.25</f>
        <v/>
      </c>
      <c r="AQ51" s="277">
        <f>S51*I51*AM51</f>
        <v/>
      </c>
      <c r="AR51" s="277">
        <f>T51*I51*AM51*0.25</f>
        <v/>
      </c>
      <c r="AS51" s="277">
        <f>T51*I51*AM51</f>
        <v/>
      </c>
      <c r="AT51" s="277">
        <f>1/12</f>
        <v/>
      </c>
      <c r="AU51" s="277">
        <f>0.5</f>
        <v/>
      </c>
      <c r="AV51" s="277">
        <f>R51*AT51*AU51*0.25</f>
        <v/>
      </c>
      <c r="AW51" s="277">
        <f>R51*AT51*AU51</f>
        <v/>
      </c>
      <c r="AX51" s="277">
        <f>S51*AT51*AU51*0.25</f>
        <v/>
      </c>
      <c r="AY51" s="277">
        <f>S51*AT51*AU51</f>
        <v/>
      </c>
      <c r="AZ51" s="277">
        <f>T51*AT51*AU51*0.25</f>
        <v/>
      </c>
      <c r="BA51" s="277">
        <f>T51*AT51*AU51</f>
        <v/>
      </c>
      <c r="BB51" s="277">
        <f>R51*K51*0.2</f>
        <v/>
      </c>
      <c r="BC51" s="277">
        <f>R51*K51</f>
        <v/>
      </c>
      <c r="BD51" s="274">
        <f>S51*K51*0.2</f>
        <v/>
      </c>
      <c r="BE51" s="277">
        <f>S51*K51</f>
        <v/>
      </c>
      <c r="BF51" s="288">
        <f>T51*K51*0.2</f>
        <v/>
      </c>
      <c r="BG51" s="308">
        <f>T51*K51</f>
        <v/>
      </c>
      <c r="BH51" s="308">
        <f>R51*K51*0.2</f>
        <v/>
      </c>
      <c r="BI51" s="308">
        <f>R51*K51</f>
        <v/>
      </c>
      <c r="BJ51" s="308">
        <f>S51*K51*0.2</f>
        <v/>
      </c>
      <c r="BK51" s="308">
        <f>S51*K51</f>
        <v/>
      </c>
      <c r="BL51" s="308">
        <f>T51*K51*0.2</f>
        <v/>
      </c>
      <c r="BM51" s="311">
        <f>T51*K51</f>
        <v/>
      </c>
      <c r="BN51" s="311">
        <f>R51*K51*0.4</f>
        <v/>
      </c>
      <c r="BO51" s="311">
        <f>K51*R51</f>
        <v/>
      </c>
      <c r="BP51" s="311">
        <f>S51*K51*0.4</f>
        <v/>
      </c>
      <c r="BQ51" s="311">
        <f>K51*S51</f>
        <v/>
      </c>
      <c r="BR51" s="311">
        <f>K51*T51*0.4</f>
        <v/>
      </c>
      <c r="BS51" s="270">
        <f>K51*T51</f>
        <v/>
      </c>
      <c r="BT51" s="270">
        <f>R51*K51*0.2</f>
        <v/>
      </c>
      <c r="BU51" s="270">
        <f>R51*K51</f>
        <v/>
      </c>
      <c r="BV51" s="270">
        <f>S51*K51*0.2</f>
        <v/>
      </c>
      <c r="BW51" s="270">
        <f>S51*K51</f>
        <v/>
      </c>
      <c r="BX51" s="270">
        <f>T51*K51*0.2</f>
        <v/>
      </c>
      <c r="BY51" s="270">
        <f>T51*K51</f>
        <v/>
      </c>
      <c r="BZ51" s="274">
        <f>R51*K51*0.33</f>
        <v/>
      </c>
      <c r="CA51" s="274">
        <f>R51*K51</f>
        <v/>
      </c>
      <c r="CB51" s="274">
        <f>S51*K51*0.33</f>
        <v/>
      </c>
      <c r="CC51" s="274">
        <f>S51*K51</f>
        <v/>
      </c>
      <c r="CD51" s="274">
        <f>T51*K51*0.33</f>
        <v/>
      </c>
      <c r="CE51" s="274">
        <f>T51*K51</f>
        <v/>
      </c>
    </row>
    <row r="52" ht="180" customFormat="1" customHeight="1" s="277">
      <c r="A52" s="277" t="n">
        <v>49</v>
      </c>
      <c r="B52" s="276" t="inlineStr">
        <is>
          <t>Etik</t>
        </is>
      </c>
      <c r="C52" s="276" t="inlineStr">
        <is>
          <t>Etik değerlere bağlılık yönetimsel, toplumsal ve iş ahlakı açısından önem taşır.</t>
        </is>
      </c>
      <c r="D52" s="277">
        <f>ESG_FO_Makale!$G$19</f>
        <v/>
      </c>
      <c r="E52" s="277" t="n">
        <v>0.03</v>
      </c>
      <c r="F52" s="277">
        <f>D52*E52</f>
        <v/>
      </c>
      <c r="G52" s="277">
        <f>ESG_FO_AnaBlok!$G$19</f>
        <v/>
      </c>
      <c r="H52" s="277">
        <f>G_AltGruplar!$E$14</f>
        <v/>
      </c>
      <c r="I52" s="277">
        <f>G_UyumPolit!O26</f>
        <v/>
      </c>
      <c r="J52" s="277">
        <f>G52*H52*I52</f>
        <v/>
      </c>
      <c r="K52" s="277">
        <f>H52*I52</f>
        <v/>
      </c>
      <c r="L52" s="277" t="inlineStr">
        <is>
          <t>İşletme bazında etik kurallara yönelik spesifik bir çalışma bulunmamakla birlikte; 3488 personel içinde sadece 29 "işçilik alacağı" davası olması, devasa ölçeğine rağmen hukuki ihtilafların iyi yönetildiği sonucuna varılmıştır.</t>
        </is>
      </c>
      <c r="M52" s="277" t="n">
        <v>4</v>
      </c>
      <c r="N52" s="277" t="inlineStr">
        <is>
          <t>İşletme bazında etik kurallara yönelik spesifik bir çalışma bulunmamakla birlikte;  416 çalışana karşılık 125 dava (yaklaşık her 3 çalışandan 1'i davalık) bulunması, kıdem tazminatı ve yürütme durdurma gibi konularda ciddi bir yönetimsel etik sorunu veya iletişim kopukluğu olduğuşeklinde değerlendirilmiştir.</t>
        </is>
      </c>
      <c r="O52" s="278" t="n">
        <v>3</v>
      </c>
      <c r="P52" s="277" t="inlineStr">
        <is>
          <t>47  İşçilik alacağı bulunmaktadır. İşletme bazında etik kurallara yönelik spesifik bir çalışma bulunmamakla birlikte; sıfır iş kazası ve düşük fazla mesai süreleri, işletmenin "Önce İnsan" felsefesini kağıt üzerinde değil, sahada uyguladığı yönünde değerlendirilmiştir.</t>
        </is>
      </c>
      <c r="Q52" s="277" t="n">
        <v>4</v>
      </c>
      <c r="R52" s="277">
        <f>100*(M52-1)/4</f>
        <v/>
      </c>
      <c r="S52" s="277">
        <f>100*(O52-1)/4</f>
        <v/>
      </c>
      <c r="T52" s="277">
        <f>100*(Q52-1)/4</f>
        <v/>
      </c>
      <c r="U52" s="277">
        <f>R52*J52</f>
        <v/>
      </c>
      <c r="V52" s="277">
        <f>R52*K52</f>
        <v/>
      </c>
      <c r="W52" s="277">
        <f>S52*$J52</f>
        <v/>
      </c>
      <c r="X52" s="277">
        <f>S52*K52</f>
        <v/>
      </c>
      <c r="Y52" s="277">
        <f>T52*$J52</f>
        <v/>
      </c>
      <c r="Z52" s="277">
        <f>T52*K52</f>
        <v/>
      </c>
      <c r="AA52" s="277">
        <f>R52*F52</f>
        <v/>
      </c>
      <c r="AB52" s="277">
        <f>R52*E52</f>
        <v/>
      </c>
      <c r="AC52" s="277">
        <f>S52*F52</f>
        <v/>
      </c>
      <c r="AD52" s="277">
        <f>S52*E52</f>
        <v/>
      </c>
      <c r="AE52" s="277">
        <f>T52*F52</f>
        <v/>
      </c>
      <c r="AF52" s="277">
        <f>T52*E52</f>
        <v/>
      </c>
      <c r="AG52" s="286">
        <f>R52*0.25*K52</f>
        <v/>
      </c>
      <c r="AH52" s="286">
        <f>K52*R52</f>
        <v/>
      </c>
      <c r="AI52" s="286">
        <f>S52*0.25*$K52</f>
        <v/>
      </c>
      <c r="AJ52" s="286">
        <f>S52*K52</f>
        <v/>
      </c>
      <c r="AK52" s="286">
        <f>T52*0.25*$K52</f>
        <v/>
      </c>
      <c r="AL52" s="286">
        <f>K52*T52</f>
        <v/>
      </c>
      <c r="AM52" s="286">
        <f>1/2</f>
        <v/>
      </c>
      <c r="AN52" s="277">
        <f>R52*I52*AM52*0.25</f>
        <v/>
      </c>
      <c r="AO52" s="277">
        <f>R52*I52*AM52</f>
        <v/>
      </c>
      <c r="AP52" s="277">
        <f>S52*I52*AM52*0.25</f>
        <v/>
      </c>
      <c r="AQ52" s="277">
        <f>S52*I52*AM52</f>
        <v/>
      </c>
      <c r="AR52" s="277">
        <f>T52*I52*AM52*0.25</f>
        <v/>
      </c>
      <c r="AS52" s="277">
        <f>T52*I52*AM52</f>
        <v/>
      </c>
      <c r="AT52" s="277">
        <f>1/12</f>
        <v/>
      </c>
      <c r="AU52" s="277">
        <f>0.5</f>
        <v/>
      </c>
      <c r="AV52" s="277">
        <f>R52*AT52*AU52*0.25</f>
        <v/>
      </c>
      <c r="AW52" s="277">
        <f>R52*AT52*AU52</f>
        <v/>
      </c>
      <c r="AX52" s="277">
        <f>S52*AT52*AU52*0.25</f>
        <v/>
      </c>
      <c r="AY52" s="277">
        <f>S52*AT52*AU52</f>
        <v/>
      </c>
      <c r="AZ52" s="277">
        <f>T52*AT52*AU52*0.25</f>
        <v/>
      </c>
      <c r="BA52" s="277">
        <f>T52*AT52*AU52</f>
        <v/>
      </c>
      <c r="BB52" s="277">
        <f>R52*K52*0.2</f>
        <v/>
      </c>
      <c r="BC52" s="277">
        <f>R52*K52</f>
        <v/>
      </c>
      <c r="BD52" s="274">
        <f>S52*K52*0.2</f>
        <v/>
      </c>
      <c r="BE52" s="277">
        <f>S52*K52</f>
        <v/>
      </c>
      <c r="BF52" s="288">
        <f>T52*K52*0.2</f>
        <v/>
      </c>
      <c r="BG52" s="308">
        <f>T52*K52</f>
        <v/>
      </c>
      <c r="BH52" s="308">
        <f>R52*K52*0.2</f>
        <v/>
      </c>
      <c r="BI52" s="308">
        <f>R52*K52</f>
        <v/>
      </c>
      <c r="BJ52" s="308">
        <f>S52*K52*0.2</f>
        <v/>
      </c>
      <c r="BK52" s="308">
        <f>S52*K52</f>
        <v/>
      </c>
      <c r="BL52" s="308">
        <f>T52*K52*0.2</f>
        <v/>
      </c>
      <c r="BM52" s="311">
        <f>T52*K52</f>
        <v/>
      </c>
      <c r="BN52" s="311">
        <f>R52*K52*0.4</f>
        <v/>
      </c>
      <c r="BO52" s="311">
        <f>K52*R52</f>
        <v/>
      </c>
      <c r="BP52" s="311">
        <f>S52*K52*0.4</f>
        <v/>
      </c>
      <c r="BQ52" s="311">
        <f>K52*S52</f>
        <v/>
      </c>
      <c r="BR52" s="311">
        <f>K52*T52*0.4</f>
        <v/>
      </c>
      <c r="BS52" s="270">
        <f>K52*T52</f>
        <v/>
      </c>
      <c r="BT52" s="270">
        <f>R52*K52*0.2</f>
        <v/>
      </c>
      <c r="BU52" s="270">
        <f>R52*K52</f>
        <v/>
      </c>
      <c r="BV52" s="270">
        <f>S52*K52*0.2</f>
        <v/>
      </c>
      <c r="BW52" s="270">
        <f>S52*K52</f>
        <v/>
      </c>
      <c r="BX52" s="270">
        <f>T52*K52*0.2</f>
        <v/>
      </c>
      <c r="BY52" s="270">
        <f>T52*K52</f>
        <v/>
      </c>
      <c r="BZ52" s="274">
        <f>R52*K52*0.33</f>
        <v/>
      </c>
      <c r="CA52" s="274">
        <f>R52*K52</f>
        <v/>
      </c>
      <c r="CB52" s="274">
        <f>S52*K52*0.33</f>
        <v/>
      </c>
      <c r="CC52" s="274">
        <f>S52*K52</f>
        <v/>
      </c>
      <c r="CD52" s="274">
        <f>T52*K52*0.33</f>
        <v/>
      </c>
      <c r="CE52" s="274">
        <f>T52*K52</f>
        <v/>
      </c>
    </row>
    <row r="53" ht="135" customFormat="1" customHeight="1" s="277">
      <c r="A53" s="277" t="n">
        <v>50</v>
      </c>
      <c r="B53" s="276" t="inlineStr">
        <is>
          <t>Çevre ve İklim Değişikliği Strateji Belgesi</t>
        </is>
      </c>
      <c r="C53" s="276" t="inlineStr">
        <is>
          <t>Kurumsal Taahhüt: İklim krizine karşı resmi ve yazılı bir yol haritasının varlığı.</t>
        </is>
      </c>
      <c r="D53" s="277">
        <f>ESG_FO_Makale!$G$19</f>
        <v/>
      </c>
      <c r="E53" s="277" t="n">
        <v>0.03</v>
      </c>
      <c r="F53" s="277">
        <f>D53*E53</f>
        <v/>
      </c>
      <c r="G53" s="277">
        <f>ESG_FO_AnaBlok!$G$19</f>
        <v/>
      </c>
      <c r="H53" s="277">
        <f>G_AltGruplar!$E$14</f>
        <v/>
      </c>
      <c r="I53" s="277">
        <f>G_UyumPolit!O27</f>
        <v/>
      </c>
      <c r="J53" s="277">
        <f>G53*H53*I53</f>
        <v/>
      </c>
      <c r="K53" s="277">
        <f>H53*I53</f>
        <v/>
      </c>
      <c r="L53" s="277" t="inlineStr">
        <is>
          <t>İşletme özelinde iklim değişikliği strateji belgesi bulunmamakla birlikte; TİGEM geneli için strateji belgesinde iklim değişikliği riskler arasında tanımlanarak bunlara yönelik uygulanacak kontrol önlemleri tanımlanmıştır.</t>
        </is>
      </c>
      <c r="M53" s="277" t="n">
        <v>3</v>
      </c>
      <c r="N53" s="277" t="inlineStr">
        <is>
          <t>İşletme özelinde iklim değişikliği strateji belgesi bulunmamakla birlikte; TİGEM geneli için strateji belgesinde iklim değişikliği riskler arasında tanımlanarak bunlara yönelik uygulanacak kontrol önlemleri tanımlanmıştır.</t>
        </is>
      </c>
      <c r="O53" s="276" t="n">
        <v>3</v>
      </c>
      <c r="P53" s="277" t="inlineStr">
        <is>
          <t>İşletme özelinde iklim değişikliği strateji belgesi bulunmamakla birlikte; TİGEM geneli için strateji belgesinde iklim değişikliği riskler arasında tanımlanarak bunlara yönelik uygulanacak kontrol önlemleri tanımlanmıştır.</t>
        </is>
      </c>
      <c r="Q53" s="277" t="n">
        <v>3</v>
      </c>
      <c r="R53" s="277">
        <f>100*(M53-1)/4</f>
        <v/>
      </c>
      <c r="S53" s="277">
        <f>100*(O53-1)/4</f>
        <v/>
      </c>
      <c r="T53" s="277">
        <f>100*(Q53-1)/4</f>
        <v/>
      </c>
      <c r="U53" s="277">
        <f>R53*J53</f>
        <v/>
      </c>
      <c r="V53" s="277">
        <f>R53*K53</f>
        <v/>
      </c>
      <c r="W53" s="277">
        <f>S53*$J53</f>
        <v/>
      </c>
      <c r="X53" s="277">
        <f>S53*K53</f>
        <v/>
      </c>
      <c r="Y53" s="277">
        <f>T53*$J53</f>
        <v/>
      </c>
      <c r="Z53" s="277">
        <f>T53*K53</f>
        <v/>
      </c>
      <c r="AA53" s="277">
        <f>R53*F53</f>
        <v/>
      </c>
      <c r="AB53" s="277">
        <f>R53*E53</f>
        <v/>
      </c>
      <c r="AC53" s="277">
        <f>S53*F53</f>
        <v/>
      </c>
      <c r="AD53" s="277">
        <f>S53*E53</f>
        <v/>
      </c>
      <c r="AE53" s="277">
        <f>T53*F53</f>
        <v/>
      </c>
      <c r="AF53" s="277">
        <f>T53*E53</f>
        <v/>
      </c>
      <c r="AG53" s="286">
        <f>R53*0.25*K53</f>
        <v/>
      </c>
      <c r="AH53" s="286">
        <f>K53*R53</f>
        <v/>
      </c>
      <c r="AI53" s="286">
        <f>S53*0.25*$K53</f>
        <v/>
      </c>
      <c r="AJ53" s="286">
        <f>S53*K53</f>
        <v/>
      </c>
      <c r="AK53" s="286">
        <f>T53*0.25*$K53</f>
        <v/>
      </c>
      <c r="AL53" s="286">
        <f>K53*T53</f>
        <v/>
      </c>
      <c r="AM53" s="286">
        <f>1/2</f>
        <v/>
      </c>
      <c r="AN53" s="277">
        <f>R53*I53*AM53*0.25</f>
        <v/>
      </c>
      <c r="AO53" s="277">
        <f>R53*I53*AM53</f>
        <v/>
      </c>
      <c r="AP53" s="277">
        <f>S53*I53*AM53*0.25</f>
        <v/>
      </c>
      <c r="AQ53" s="277">
        <f>S53*I53*AM53</f>
        <v/>
      </c>
      <c r="AR53" s="277">
        <f>T53*I53*AM53*0.25</f>
        <v/>
      </c>
      <c r="AS53" s="277">
        <f>T53*I53*AM53</f>
        <v/>
      </c>
      <c r="AT53" s="277">
        <f>1/12</f>
        <v/>
      </c>
      <c r="AU53" s="277">
        <f>0.5</f>
        <v/>
      </c>
      <c r="AV53" s="277">
        <f>R53*AT53*AU53*0.25</f>
        <v/>
      </c>
      <c r="AW53" s="277">
        <f>R53*AT53*AU53</f>
        <v/>
      </c>
      <c r="AX53" s="277">
        <f>S53*AT53*AU53*0.25</f>
        <v/>
      </c>
      <c r="AY53" s="277">
        <f>S53*AT53*AU53</f>
        <v/>
      </c>
      <c r="AZ53" s="277">
        <f>T53*AT53*AU53*0.25</f>
        <v/>
      </c>
      <c r="BA53" s="277">
        <f>T53*AT53*AU53</f>
        <v/>
      </c>
      <c r="BB53" s="277">
        <f>R53*K53*0.2</f>
        <v/>
      </c>
      <c r="BC53" s="277">
        <f>R53*K53</f>
        <v/>
      </c>
      <c r="BD53" s="274">
        <f>S53*K53*0.2</f>
        <v/>
      </c>
      <c r="BE53" s="277">
        <f>S53*K53</f>
        <v/>
      </c>
      <c r="BF53" s="288">
        <f>T53*K53*0.2</f>
        <v/>
      </c>
      <c r="BG53" s="308">
        <f>T53*K53</f>
        <v/>
      </c>
      <c r="BH53" s="308">
        <f>R53*K53*0.2</f>
        <v/>
      </c>
      <c r="BI53" s="308">
        <f>R53*K53</f>
        <v/>
      </c>
      <c r="BJ53" s="308">
        <f>S53*K53*0.2</f>
        <v/>
      </c>
      <c r="BK53" s="308">
        <f>S53*K53</f>
        <v/>
      </c>
      <c r="BL53" s="308">
        <f>T53*K53*0.2</f>
        <v/>
      </c>
      <c r="BM53" s="311">
        <f>T53*K53</f>
        <v/>
      </c>
      <c r="BN53" s="311">
        <f>R53*K53*0.4</f>
        <v/>
      </c>
      <c r="BO53" s="311">
        <f>K53*R53</f>
        <v/>
      </c>
      <c r="BP53" s="311">
        <f>S53*K53*0.4</f>
        <v/>
      </c>
      <c r="BQ53" s="311">
        <f>K53*S53</f>
        <v/>
      </c>
      <c r="BR53" s="311">
        <f>K53*T53*0.4</f>
        <v/>
      </c>
      <c r="BS53" s="270">
        <f>K53*T53</f>
        <v/>
      </c>
      <c r="BT53" s="270">
        <f>R53*K53*0.2</f>
        <v/>
      </c>
      <c r="BU53" s="270">
        <f>R53*K53</f>
        <v/>
      </c>
      <c r="BV53" s="270">
        <f>S53*K53*0.2</f>
        <v/>
      </c>
      <c r="BW53" s="270">
        <f>S53*K53</f>
        <v/>
      </c>
      <c r="BX53" s="270">
        <f>T53*K53*0.2</f>
        <v/>
      </c>
      <c r="BY53" s="270">
        <f>T53*K53</f>
        <v/>
      </c>
      <c r="BZ53" s="274">
        <f>R53*K53*0.33</f>
        <v/>
      </c>
      <c r="CA53" s="274">
        <f>R53*K53</f>
        <v/>
      </c>
      <c r="CB53" s="274">
        <f>S53*K53*0.33</f>
        <v/>
      </c>
      <c r="CC53" s="274">
        <f>S53*K53</f>
        <v/>
      </c>
      <c r="CD53" s="274">
        <f>T53*K53*0.33</f>
        <v/>
      </c>
      <c r="CE53" s="274">
        <f>T53*K53</f>
        <v/>
      </c>
    </row>
    <row r="54" ht="63.75" customFormat="1" customHeight="1" s="277">
      <c r="A54" s="277" t="n">
        <v>51</v>
      </c>
      <c r="B54" s="276" t="inlineStr">
        <is>
          <t>Çevre Mevzuatına Uyum</t>
        </is>
      </c>
      <c r="C54" s="276" t="inlineStr">
        <is>
          <t>Yasal Zorunluluk: Yasalara uyum, her türlü sürdürülebilirlik çalışmasının asgari giriş biletidir.</t>
        </is>
      </c>
      <c r="D54" s="277">
        <f>ESG_FO_Makale!$G$19</f>
        <v/>
      </c>
      <c r="E54" s="277" t="n">
        <v>0.06</v>
      </c>
      <c r="F54" s="277">
        <f>D54*E54</f>
        <v/>
      </c>
      <c r="G54" s="277">
        <f>ESG_FO_AnaBlok!$G$19</f>
        <v/>
      </c>
      <c r="H54" s="277">
        <f>G_AltGruplar!$E$14</f>
        <v/>
      </c>
      <c r="I54" s="277">
        <f>G_UyumPolit!O28</f>
        <v/>
      </c>
      <c r="J54" s="277">
        <f>G54*H54*I54</f>
        <v/>
      </c>
      <c r="K54" s="277">
        <f>H54*I54</f>
        <v/>
      </c>
      <c r="L54" s="277" t="inlineStr">
        <is>
          <t>Çevre mevzuatına aykırılık yönünde herhangi bir cezai yaptırım bulunmamaktadır.</t>
        </is>
      </c>
      <c r="M54" s="277" t="n">
        <v>3</v>
      </c>
      <c r="N54" s="277" t="inlineStr">
        <is>
          <t>Çevre mevzuatına aykırılık yönünde herhangi bir cezai yaptırım bulunmamaktadır.</t>
        </is>
      </c>
      <c r="O54" s="276" t="n">
        <v>3</v>
      </c>
      <c r="P54" s="277" t="inlineStr">
        <is>
          <t>Çevre mevzuatına aykırılık yönünde herhangi bir cezai yaptırım bulunmamaktadır.</t>
        </is>
      </c>
      <c r="Q54" s="277" t="n">
        <v>3</v>
      </c>
      <c r="R54" s="277">
        <f>100*(M54-1)/4</f>
        <v/>
      </c>
      <c r="S54" s="277">
        <f>100*(O54-1)/4</f>
        <v/>
      </c>
      <c r="T54" s="277">
        <f>100*(Q54-1)/4</f>
        <v/>
      </c>
      <c r="U54" s="277">
        <f>R54*J54</f>
        <v/>
      </c>
      <c r="V54" s="277">
        <f>R54*K54</f>
        <v/>
      </c>
      <c r="W54" s="277">
        <f>S54*$J54</f>
        <v/>
      </c>
      <c r="X54" s="277">
        <f>S54*K54</f>
        <v/>
      </c>
      <c r="Y54" s="277">
        <f>T54*$J54</f>
        <v/>
      </c>
      <c r="Z54" s="277">
        <f>T54*K54</f>
        <v/>
      </c>
      <c r="AA54" s="277">
        <f>R54*F54</f>
        <v/>
      </c>
      <c r="AB54" s="277">
        <f>R54*E54</f>
        <v/>
      </c>
      <c r="AC54" s="277">
        <f>S54*F54</f>
        <v/>
      </c>
      <c r="AD54" s="277">
        <f>S54*E54</f>
        <v/>
      </c>
      <c r="AE54" s="277">
        <f>T54*F54</f>
        <v/>
      </c>
      <c r="AF54" s="277">
        <f>T54*E54</f>
        <v/>
      </c>
      <c r="AG54" s="286">
        <f>R54*0.25*K54</f>
        <v/>
      </c>
      <c r="AH54" s="286">
        <f>K54*R54</f>
        <v/>
      </c>
      <c r="AI54" s="286">
        <f>S54*0.25*$K54</f>
        <v/>
      </c>
      <c r="AJ54" s="286">
        <f>S54*K54</f>
        <v/>
      </c>
      <c r="AK54" s="286">
        <f>T54*0.25*$K54</f>
        <v/>
      </c>
      <c r="AL54" s="286">
        <f>K54*T54</f>
        <v/>
      </c>
      <c r="AM54" s="286">
        <f>1/2</f>
        <v/>
      </c>
      <c r="AN54" s="277">
        <f>R54*I54*AM54*0.25</f>
        <v/>
      </c>
      <c r="AO54" s="277">
        <f>R54*I54*AM54</f>
        <v/>
      </c>
      <c r="AP54" s="277">
        <f>S54*I54*AM54*0.25</f>
        <v/>
      </c>
      <c r="AQ54" s="277">
        <f>S54*I54*AM54</f>
        <v/>
      </c>
      <c r="AR54" s="277">
        <f>T54*I54*AM54*0.25</f>
        <v/>
      </c>
      <c r="AS54" s="277">
        <f>T54*I54*AM54</f>
        <v/>
      </c>
      <c r="AT54" s="277">
        <f>1/12</f>
        <v/>
      </c>
      <c r="AU54" s="277">
        <f>0.5</f>
        <v/>
      </c>
      <c r="AV54" s="277">
        <f>R54*AT54*AU54*0.25</f>
        <v/>
      </c>
      <c r="AW54" s="277">
        <f>R54*AT54*AU54</f>
        <v/>
      </c>
      <c r="AX54" s="277">
        <f>S54*AT54*AU54*0.25</f>
        <v/>
      </c>
      <c r="AY54" s="277">
        <f>S54*AT54*AU54</f>
        <v/>
      </c>
      <c r="AZ54" s="277">
        <f>T54*AT54*AU54*0.25</f>
        <v/>
      </c>
      <c r="BA54" s="277">
        <f>T54*AT54*AU54</f>
        <v/>
      </c>
      <c r="BB54" s="277">
        <f>R54*K54*0.2</f>
        <v/>
      </c>
      <c r="BC54" s="277">
        <f>R54*K54</f>
        <v/>
      </c>
      <c r="BD54" s="274">
        <f>S54*K54*0.2</f>
        <v/>
      </c>
      <c r="BE54" s="277">
        <f>S54*K54</f>
        <v/>
      </c>
      <c r="BF54" s="288">
        <f>T54*K54*0.2</f>
        <v/>
      </c>
      <c r="BG54" s="308">
        <f>T54*K54</f>
        <v/>
      </c>
      <c r="BH54" s="308">
        <f>R54*K54*0.2</f>
        <v/>
      </c>
      <c r="BI54" s="308">
        <f>R54*K54</f>
        <v/>
      </c>
      <c r="BJ54" s="308">
        <f>S54*K54*0.2</f>
        <v/>
      </c>
      <c r="BK54" s="308">
        <f>S54*K54</f>
        <v/>
      </c>
      <c r="BL54" s="308">
        <f>T54*K54*0.2</f>
        <v/>
      </c>
      <c r="BM54" s="311">
        <f>T54*K54</f>
        <v/>
      </c>
      <c r="BN54" s="311">
        <f>R54*K54*0.4</f>
        <v/>
      </c>
      <c r="BO54" s="311">
        <f>K54*R54</f>
        <v/>
      </c>
      <c r="BP54" s="311">
        <f>S54*K54*0.4</f>
        <v/>
      </c>
      <c r="BQ54" s="311">
        <f>K54*S54</f>
        <v/>
      </c>
      <c r="BR54" s="311">
        <f>K54*T54*0.4</f>
        <v/>
      </c>
      <c r="BS54" s="270">
        <f>K54*T54</f>
        <v/>
      </c>
      <c r="BT54" s="270">
        <f>R54*K54*0.2</f>
        <v/>
      </c>
      <c r="BU54" s="270">
        <f>R54*K54</f>
        <v/>
      </c>
      <c r="BV54" s="270">
        <f>S54*K54*0.2</f>
        <v/>
      </c>
      <c r="BW54" s="270">
        <f>S54*K54</f>
        <v/>
      </c>
      <c r="BX54" s="270">
        <f>T54*K54*0.2</f>
        <v/>
      </c>
      <c r="BY54" s="270">
        <f>T54*K54</f>
        <v/>
      </c>
      <c r="BZ54" s="274">
        <f>R54*K54*0.33</f>
        <v/>
      </c>
      <c r="CA54" s="274">
        <f>R54*K54</f>
        <v/>
      </c>
      <c r="CB54" s="274">
        <f>S54*K54*0.33</f>
        <v/>
      </c>
      <c r="CC54" s="274">
        <f>S54*K54</f>
        <v/>
      </c>
      <c r="CD54" s="274">
        <f>T54*K54*0.33</f>
        <v/>
      </c>
      <c r="CE54" s="274">
        <f>T54*K54</f>
        <v/>
      </c>
    </row>
    <row r="55" ht="90" customFormat="1" customHeight="1" s="277">
      <c r="A55" s="277" t="n">
        <v>52</v>
      </c>
      <c r="B55" s="276" t="inlineStr">
        <is>
          <t>İş Hukuku ve Sosyal Haklara Uyum</t>
        </is>
      </c>
      <c r="C55" s="276" t="inlineStr">
        <is>
          <t>Sosyal Adalet: Çalışan haklarının yasal güvencesi, kurumsal meşruiyetin temelidir.</t>
        </is>
      </c>
      <c r="D55" s="277">
        <f>ESG_FO_Makale!$G$19</f>
        <v/>
      </c>
      <c r="E55" s="277" t="n">
        <v>0.06</v>
      </c>
      <c r="F55" s="277">
        <f>D55*E55</f>
        <v/>
      </c>
      <c r="G55" s="277">
        <f>ESG_FO_AnaBlok!$G$19</f>
        <v/>
      </c>
      <c r="H55" s="277">
        <f>G_AltGruplar!$E$14</f>
        <v/>
      </c>
      <c r="I55" s="277">
        <f>G_UyumPolit!O29</f>
        <v/>
      </c>
      <c r="J55" s="277">
        <f>G55*H55*I55</f>
        <v/>
      </c>
      <c r="K55" s="277">
        <f>H55*I55</f>
        <v/>
      </c>
      <c r="L55" s="277" t="inlineStr">
        <is>
          <t>3488 personel içinde sadece 29 "işçilik alacağı" davası olması, devasa ölçeğine rağmen hukuki ihtilafların iyi yönetildiği sonucuna varılmıştır.</t>
        </is>
      </c>
      <c r="M55" s="277" t="n">
        <v>4</v>
      </c>
      <c r="N55" s="277" t="inlineStr">
        <is>
          <t>Çoğu kıdem tazminatı veyürütmeyi durdurma konularında açılmış 125 dava bulunmaktadır.</t>
        </is>
      </c>
      <c r="O55" s="278" t="n">
        <v>3</v>
      </c>
      <c r="P55" s="277" t="inlineStr">
        <is>
          <t>47  İşçilik alacağı bulunmaktadır.</t>
        </is>
      </c>
      <c r="Q55" s="277" t="n">
        <v>4</v>
      </c>
      <c r="R55" s="277">
        <f>100*(M55-1)/4</f>
        <v/>
      </c>
      <c r="S55" s="277">
        <f>100*(O55-1)/4</f>
        <v/>
      </c>
      <c r="T55" s="277">
        <f>100*(Q55-1)/4</f>
        <v/>
      </c>
      <c r="U55" s="277">
        <f>R55*J55</f>
        <v/>
      </c>
      <c r="V55" s="277">
        <f>R55*K55</f>
        <v/>
      </c>
      <c r="W55" s="277">
        <f>S55*$J55</f>
        <v/>
      </c>
      <c r="X55" s="277">
        <f>S55*K55</f>
        <v/>
      </c>
      <c r="Y55" s="277">
        <f>T55*$J55</f>
        <v/>
      </c>
      <c r="Z55" s="277">
        <f>T55*K55</f>
        <v/>
      </c>
      <c r="AA55" s="277">
        <f>R55*F55</f>
        <v/>
      </c>
      <c r="AB55" s="277">
        <f>R55*E55</f>
        <v/>
      </c>
      <c r="AC55" s="277">
        <f>S55*F55</f>
        <v/>
      </c>
      <c r="AD55" s="277">
        <f>S55*E55</f>
        <v/>
      </c>
      <c r="AE55" s="277">
        <f>T55*F55</f>
        <v/>
      </c>
      <c r="AF55" s="277">
        <f>T55*E55</f>
        <v/>
      </c>
      <c r="AG55" s="286">
        <f>R55*0.25*K55</f>
        <v/>
      </c>
      <c r="AH55" s="286">
        <f>K55*R55</f>
        <v/>
      </c>
      <c r="AI55" s="286">
        <f>S55*0.25*$K55</f>
        <v/>
      </c>
      <c r="AJ55" s="286">
        <f>S55*K55</f>
        <v/>
      </c>
      <c r="AK55" s="286">
        <f>T55*0.25*$K55</f>
        <v/>
      </c>
      <c r="AL55" s="286">
        <f>K55*T55</f>
        <v/>
      </c>
      <c r="AM55" s="286">
        <f>1/2</f>
        <v/>
      </c>
      <c r="AN55" s="277">
        <f>R55*I55*AM55*0.25</f>
        <v/>
      </c>
      <c r="AO55" s="277">
        <f>R55*I55*AM55</f>
        <v/>
      </c>
      <c r="AP55" s="277">
        <f>S55*I55*AM55*0.25</f>
        <v/>
      </c>
      <c r="AQ55" s="277">
        <f>S55*I55*AM55</f>
        <v/>
      </c>
      <c r="AR55" s="277">
        <f>T55*I55*AM55*0.25</f>
        <v/>
      </c>
      <c r="AS55" s="277">
        <f>T55*I55*AM55</f>
        <v/>
      </c>
      <c r="AT55" s="277">
        <f>1/12</f>
        <v/>
      </c>
      <c r="AU55" s="277">
        <f>0.5</f>
        <v/>
      </c>
      <c r="AV55" s="277">
        <f>R55*AT55*AU55*0.25</f>
        <v/>
      </c>
      <c r="AW55" s="277">
        <f>R55*AT55*AU55</f>
        <v/>
      </c>
      <c r="AX55" s="277">
        <f>S55*AT55*AU55*0.25</f>
        <v/>
      </c>
      <c r="AY55" s="277">
        <f>S55*AT55*AU55</f>
        <v/>
      </c>
      <c r="AZ55" s="277">
        <f>T55*AT55*AU55*0.25</f>
        <v/>
      </c>
      <c r="BA55" s="277">
        <f>T55*AT55*AU55</f>
        <v/>
      </c>
      <c r="BB55" s="277">
        <f>R55*K55*0.2</f>
        <v/>
      </c>
      <c r="BC55" s="277">
        <f>R55*K55</f>
        <v/>
      </c>
      <c r="BD55" s="274">
        <f>S55*K55*0.2</f>
        <v/>
      </c>
      <c r="BE55" s="277">
        <f>S55*K55</f>
        <v/>
      </c>
      <c r="BF55" s="288">
        <f>T55*K55*0.2</f>
        <v/>
      </c>
      <c r="BG55" s="308">
        <f>T55*K55</f>
        <v/>
      </c>
      <c r="BH55" s="308">
        <f>R55*K55*0.2</f>
        <v/>
      </c>
      <c r="BI55" s="308">
        <f>R55*K55</f>
        <v/>
      </c>
      <c r="BJ55" s="308">
        <f>S55*K55*0.2</f>
        <v/>
      </c>
      <c r="BK55" s="308">
        <f>S55*K55</f>
        <v/>
      </c>
      <c r="BL55" s="308">
        <f>T55*K55*0.2</f>
        <v/>
      </c>
      <c r="BM55" s="311">
        <f>T55*K55</f>
        <v/>
      </c>
      <c r="BN55" s="311">
        <f>R55*K55*0.4</f>
        <v/>
      </c>
      <c r="BO55" s="311">
        <f>K55*R55</f>
        <v/>
      </c>
      <c r="BP55" s="311">
        <f>S55*K55*0.4</f>
        <v/>
      </c>
      <c r="BQ55" s="311">
        <f>K55*S55</f>
        <v/>
      </c>
      <c r="BR55" s="311">
        <f>K55*T55*0.4</f>
        <v/>
      </c>
      <c r="BS55" s="270">
        <f>K55*T55</f>
        <v/>
      </c>
      <c r="BT55" s="270">
        <f>R55*K55*0.2</f>
        <v/>
      </c>
      <c r="BU55" s="270">
        <f>R55*K55</f>
        <v/>
      </c>
      <c r="BV55" s="270">
        <f>S55*K55*0.2</f>
        <v/>
      </c>
      <c r="BW55" s="270">
        <f>S55*K55</f>
        <v/>
      </c>
      <c r="BX55" s="270">
        <f>T55*K55*0.2</f>
        <v/>
      </c>
      <c r="BY55" s="270">
        <f>T55*K55</f>
        <v/>
      </c>
      <c r="BZ55" s="274">
        <f>R55*K55*0.33</f>
        <v/>
      </c>
      <c r="CA55" s="274">
        <f>R55*K55</f>
        <v/>
      </c>
      <c r="CB55" s="274">
        <f>S55*K55*0.33</f>
        <v/>
      </c>
      <c r="CC55" s="274">
        <f>S55*K55</f>
        <v/>
      </c>
      <c r="CD55" s="274">
        <f>T55*K55*0.33</f>
        <v/>
      </c>
      <c r="CE55" s="274">
        <f>T55*K55</f>
        <v/>
      </c>
    </row>
    <row r="56" ht="60" customFormat="1" customHeight="1" s="277">
      <c r="A56" s="277" t="n">
        <v>53</v>
      </c>
      <c r="B56" s="276" t="inlineStr">
        <is>
          <t>İç Kontrol Sisteminin Etkinliği</t>
        </is>
      </c>
      <c r="C56" s="276" t="inlineStr">
        <is>
          <t>Hata Önleme: Yolsuzluk veya kaynak israfını engelleyen mekanizmaların gücü.</t>
        </is>
      </c>
      <c r="D56" s="277">
        <f>ESG_FO_Makale!$G$19</f>
        <v/>
      </c>
      <c r="E56" s="277" t="n">
        <v>0.06</v>
      </c>
      <c r="F56" s="277">
        <f>D56*E56</f>
        <v/>
      </c>
      <c r="G56" s="277">
        <f>ESG_FO_AnaBlok!$G$19</f>
        <v/>
      </c>
      <c r="H56" s="277">
        <f>G_AltGruplar!$E$14</f>
        <v/>
      </c>
      <c r="I56" s="277">
        <f>G_UyumPolit!O30</f>
        <v/>
      </c>
      <c r="J56" s="277">
        <f>G56*H56*I56</f>
        <v/>
      </c>
      <c r="K56" s="277">
        <f>H56*I56</f>
        <v/>
      </c>
      <c r="L56" s="277" t="inlineStr">
        <is>
          <t>İç Kontrol Sistemi Kurum genelinde kurulmuş olup, pratikte uygulama eksiklikleri bulunmaktadır.</t>
        </is>
      </c>
      <c r="M56" s="277" t="n">
        <v>3</v>
      </c>
      <c r="N56" s="277" t="inlineStr">
        <is>
          <t>İç Kontrol Sistemi Kurum genelinde kurulmuş olup, pratikte uygulama eksiklikleri bulunmaktadır.</t>
        </is>
      </c>
      <c r="O56" s="278" t="n">
        <v>3</v>
      </c>
      <c r="P56" s="277" t="inlineStr">
        <is>
          <t>İç Kontrol Sistemi Kurum genelinde kurulmuş olup, pratikte uygulama eksiklikleri bulunmaktadır.</t>
        </is>
      </c>
      <c r="Q56" s="277" t="n">
        <v>3</v>
      </c>
      <c r="R56" s="277">
        <f>100*(M56-1)/4</f>
        <v/>
      </c>
      <c r="S56" s="277">
        <f>100*(O56-1)/4</f>
        <v/>
      </c>
      <c r="T56" s="277">
        <f>100*(Q56-1)/4</f>
        <v/>
      </c>
      <c r="U56" s="277">
        <f>R56*J56</f>
        <v/>
      </c>
      <c r="V56" s="277">
        <f>R56*K56</f>
        <v/>
      </c>
      <c r="W56" s="277">
        <f>S56*$J56</f>
        <v/>
      </c>
      <c r="X56" s="277">
        <f>S56*K56</f>
        <v/>
      </c>
      <c r="Y56" s="277">
        <f>T56*$J56</f>
        <v/>
      </c>
      <c r="Z56" s="277">
        <f>T56*K56</f>
        <v/>
      </c>
      <c r="AA56" s="277">
        <f>R56*F56</f>
        <v/>
      </c>
      <c r="AB56" s="277">
        <f>R56*E56</f>
        <v/>
      </c>
      <c r="AC56" s="277">
        <f>S56*F56</f>
        <v/>
      </c>
      <c r="AD56" s="277">
        <f>S56*E56</f>
        <v/>
      </c>
      <c r="AE56" s="277">
        <f>T56*F56</f>
        <v/>
      </c>
      <c r="AF56" s="277">
        <f>T56*E56</f>
        <v/>
      </c>
      <c r="AG56" s="286">
        <f>R56*0.25*K56</f>
        <v/>
      </c>
      <c r="AH56" s="286">
        <f>K56*R56</f>
        <v/>
      </c>
      <c r="AI56" s="286">
        <f>S56*0.25*$K56</f>
        <v/>
      </c>
      <c r="AJ56" s="286">
        <f>S56*K56</f>
        <v/>
      </c>
      <c r="AK56" s="286">
        <f>T56*0.25*$K56</f>
        <v/>
      </c>
      <c r="AL56" s="286">
        <f>K56*T56</f>
        <v/>
      </c>
      <c r="AM56" s="286">
        <f>1/2</f>
        <v/>
      </c>
      <c r="AN56" s="277">
        <f>R56*I56*AM56*0.25</f>
        <v/>
      </c>
      <c r="AO56" s="277">
        <f>R56*I56*AM56</f>
        <v/>
      </c>
      <c r="AP56" s="277">
        <f>S56*I56*AM56*0.25</f>
        <v/>
      </c>
      <c r="AQ56" s="277">
        <f>S56*I56*AM56</f>
        <v/>
      </c>
      <c r="AR56" s="277">
        <f>T56*I56*AM56*0.25</f>
        <v/>
      </c>
      <c r="AS56" s="277">
        <f>T56*I56*AM56</f>
        <v/>
      </c>
      <c r="AT56" s="277">
        <f>1/12</f>
        <v/>
      </c>
      <c r="AU56" s="277">
        <f>0.5</f>
        <v/>
      </c>
      <c r="AV56" s="277">
        <f>R56*AT56*AU56*0.25</f>
        <v/>
      </c>
      <c r="AW56" s="277">
        <f>R56*AT56*AU56</f>
        <v/>
      </c>
      <c r="AX56" s="277">
        <f>S56*AT56*AU56*0.25</f>
        <v/>
      </c>
      <c r="AY56" s="277">
        <f>S56*AT56*AU56</f>
        <v/>
      </c>
      <c r="AZ56" s="277">
        <f>T56*AT56*AU56*0.25</f>
        <v/>
      </c>
      <c r="BA56" s="277">
        <f>T56*AT56*AU56</f>
        <v/>
      </c>
      <c r="BB56" s="277">
        <f>R56*K56*0.2</f>
        <v/>
      </c>
      <c r="BC56" s="277">
        <f>R56*K56</f>
        <v/>
      </c>
      <c r="BD56" s="274">
        <f>S56*K56*0.2</f>
        <v/>
      </c>
      <c r="BE56" s="277">
        <f>S56*K56</f>
        <v/>
      </c>
      <c r="BF56" s="288">
        <f>T56*K56*0.2</f>
        <v/>
      </c>
      <c r="BG56" s="308">
        <f>T56*K56</f>
        <v/>
      </c>
      <c r="BH56" s="308">
        <f>R56*K56*0.2</f>
        <v/>
      </c>
      <c r="BI56" s="308">
        <f>R56*K56</f>
        <v/>
      </c>
      <c r="BJ56" s="308">
        <f>S56*K56*0.2</f>
        <v/>
      </c>
      <c r="BK56" s="308">
        <f>S56*K56</f>
        <v/>
      </c>
      <c r="BL56" s="308">
        <f>T56*K56*0.2</f>
        <v/>
      </c>
      <c r="BM56" s="311">
        <f>T56*K56</f>
        <v/>
      </c>
      <c r="BN56" s="311">
        <f>R56*K56*0.4</f>
        <v/>
      </c>
      <c r="BO56" s="311">
        <f>K56*R56</f>
        <v/>
      </c>
      <c r="BP56" s="311">
        <f>S56*K56*0.4</f>
        <v/>
      </c>
      <c r="BQ56" s="311">
        <f>K56*S56</f>
        <v/>
      </c>
      <c r="BR56" s="311">
        <f>K56*T56*0.4</f>
        <v/>
      </c>
      <c r="BS56" s="270">
        <f>K56*T56</f>
        <v/>
      </c>
      <c r="BT56" s="270">
        <f>R56*K56*0.2</f>
        <v/>
      </c>
      <c r="BU56" s="270">
        <f>R56*K56</f>
        <v/>
      </c>
      <c r="BV56" s="270">
        <f>S56*K56*0.2</f>
        <v/>
      </c>
      <c r="BW56" s="270">
        <f>S56*K56</f>
        <v/>
      </c>
      <c r="BX56" s="270">
        <f>T56*K56*0.2</f>
        <v/>
      </c>
      <c r="BY56" s="270">
        <f>T56*K56</f>
        <v/>
      </c>
      <c r="BZ56" s="274">
        <f>R56*K56*0.33</f>
        <v/>
      </c>
      <c r="CA56" s="274">
        <f>R56*K56</f>
        <v/>
      </c>
      <c r="CB56" s="274">
        <f>S56*K56*0.33</f>
        <v/>
      </c>
      <c r="CC56" s="274">
        <f>S56*K56</f>
        <v/>
      </c>
      <c r="CD56" s="274">
        <f>T56*K56*0.33</f>
        <v/>
      </c>
      <c r="CE56" s="274">
        <f>T56*K56</f>
        <v/>
      </c>
    </row>
    <row r="57" ht="76.5" customFormat="1" customHeight="1" s="277">
      <c r="A57" s="277" t="n">
        <v>54</v>
      </c>
      <c r="B57" s="276" t="inlineStr">
        <is>
          <t>Stratejik Hedeflerde sürdürülebilirlik kriterleri</t>
        </is>
      </c>
      <c r="C57" s="276" t="inlineStr">
        <is>
          <t>Vizyon: Sürdürülebilirliğin sadece "kağıt üstünde" mi yoksa kurumun ana hedefleri arasında mı olduğunu ölçer.</t>
        </is>
      </c>
      <c r="D57" s="277">
        <f>ESG_FO_Makale!$G$19</f>
        <v/>
      </c>
      <c r="E57" s="277" t="n">
        <v>0.06</v>
      </c>
      <c r="F57" s="277">
        <f>D57*E57</f>
        <v/>
      </c>
      <c r="G57" s="277">
        <f>ESG_FO_AnaBlok!$G$19</f>
        <v/>
      </c>
      <c r="H57" s="277">
        <f>G_AltGruplar!$E$14</f>
        <v/>
      </c>
      <c r="I57" s="277">
        <f>G_UyumPolit!O31</f>
        <v/>
      </c>
      <c r="J57" s="277">
        <f>G57*H57*I57</f>
        <v/>
      </c>
      <c r="K57" s="277">
        <f>H57*I57</f>
        <v/>
      </c>
      <c r="L57" s="277" t="inlineStr">
        <is>
          <t>Kurum Stratejik Planında spesifik sürdürülebilirlik hedefleri yer almamaktadır.</t>
        </is>
      </c>
      <c r="M57" s="277" t="n">
        <v>1</v>
      </c>
      <c r="N57" s="277" t="inlineStr">
        <is>
          <t>Kurum Stratejik Planında spesifik sürdürülebilirlik hedefleri yer almamaktadır.</t>
        </is>
      </c>
      <c r="O57" s="278" t="n">
        <v>1</v>
      </c>
      <c r="P57" s="277" t="inlineStr">
        <is>
          <t>Kurum Stratejik Planında spesifik sürdürülebilirlik hedefleri yer almamaktadır.</t>
        </is>
      </c>
      <c r="Q57" s="277" t="n">
        <v>1</v>
      </c>
      <c r="R57" s="277">
        <f>100*(M57-1)/4</f>
        <v/>
      </c>
      <c r="S57" s="277">
        <f>100*(O57-1)/4</f>
        <v/>
      </c>
      <c r="T57" s="277">
        <f>100*(Q57-1)/4</f>
        <v/>
      </c>
      <c r="U57" s="277">
        <f>R57*J57</f>
        <v/>
      </c>
      <c r="V57" s="277">
        <f>R57*K57</f>
        <v/>
      </c>
      <c r="W57" s="277">
        <f>S57*$J57</f>
        <v/>
      </c>
      <c r="X57" s="277">
        <f>S57*K57</f>
        <v/>
      </c>
      <c r="Y57" s="277">
        <f>T57*$J57</f>
        <v/>
      </c>
      <c r="Z57" s="277">
        <f>T57*K57</f>
        <v/>
      </c>
      <c r="AA57" s="277">
        <f>R57*F57</f>
        <v/>
      </c>
      <c r="AB57" s="277">
        <f>R57*E57</f>
        <v/>
      </c>
      <c r="AC57" s="277">
        <f>S57*F57</f>
        <v/>
      </c>
      <c r="AD57" s="277">
        <f>S57*E57</f>
        <v/>
      </c>
      <c r="AE57" s="277">
        <f>T57*F57</f>
        <v/>
      </c>
      <c r="AF57" s="277">
        <f>T57*E57</f>
        <v/>
      </c>
      <c r="AG57" s="286">
        <f>R57*0.25*K57</f>
        <v/>
      </c>
      <c r="AH57" s="286">
        <f>K57*R57</f>
        <v/>
      </c>
      <c r="AI57" s="286">
        <f>S57*0.25*$K57</f>
        <v/>
      </c>
      <c r="AJ57" s="286">
        <f>S57*K57</f>
        <v/>
      </c>
      <c r="AK57" s="286">
        <f>T57*0.25*$K57</f>
        <v/>
      </c>
      <c r="AL57" s="286">
        <f>K57*T57</f>
        <v/>
      </c>
      <c r="AM57" s="286">
        <f>1/2</f>
        <v/>
      </c>
      <c r="AN57" s="277">
        <f>R57*I57*AM57*0.25</f>
        <v/>
      </c>
      <c r="AO57" s="277">
        <f>R57*I57*AM57</f>
        <v/>
      </c>
      <c r="AP57" s="277">
        <f>S57*I57*AM57*0.25</f>
        <v/>
      </c>
      <c r="AQ57" s="277">
        <f>S57*I57*AM57</f>
        <v/>
      </c>
      <c r="AR57" s="277">
        <f>T57*I57*AM57*0.25</f>
        <v/>
      </c>
      <c r="AS57" s="277">
        <f>T57*I57*AM57</f>
        <v/>
      </c>
      <c r="AT57" s="277">
        <f>1/12</f>
        <v/>
      </c>
      <c r="AU57" s="277">
        <f>0.5</f>
        <v/>
      </c>
      <c r="AV57" s="277">
        <f>R57*AT57*AU57*0.25</f>
        <v/>
      </c>
      <c r="AW57" s="277">
        <f>R57*AT57*AU57</f>
        <v/>
      </c>
      <c r="AX57" s="277">
        <f>S57*AT57*AU57*0.25</f>
        <v/>
      </c>
      <c r="AY57" s="277">
        <f>S57*AT57*AU57</f>
        <v/>
      </c>
      <c r="AZ57" s="277">
        <f>T57*AT57*AU57*0.25</f>
        <v/>
      </c>
      <c r="BA57" s="277">
        <f>T57*AT57*AU57</f>
        <v/>
      </c>
      <c r="BB57" s="277">
        <f>R57*K57*0.2</f>
        <v/>
      </c>
      <c r="BC57" s="277">
        <f>R57*K57</f>
        <v/>
      </c>
      <c r="BD57" s="274">
        <f>S57*K57*0.2</f>
        <v/>
      </c>
      <c r="BE57" s="277">
        <f>S57*K57</f>
        <v/>
      </c>
      <c r="BF57" s="288">
        <f>T57*K57*0.2</f>
        <v/>
      </c>
      <c r="BG57" s="308">
        <f>T57*K57</f>
        <v/>
      </c>
      <c r="BH57" s="308">
        <f>R57*K57*0.2</f>
        <v/>
      </c>
      <c r="BI57" s="308">
        <f>R57*K57</f>
        <v/>
      </c>
      <c r="BJ57" s="308">
        <f>S57*K57*0.2</f>
        <v/>
      </c>
      <c r="BK57" s="308">
        <f>S57*K57</f>
        <v/>
      </c>
      <c r="BL57" s="308">
        <f>T57*K57*0.2</f>
        <v/>
      </c>
      <c r="BM57" s="311">
        <f>T57*K57</f>
        <v/>
      </c>
      <c r="BN57" s="311">
        <f>R57*K57*0.4</f>
        <v/>
      </c>
      <c r="BO57" s="311">
        <f>K57*R57</f>
        <v/>
      </c>
      <c r="BP57" s="311">
        <f>S57*K57*0.4</f>
        <v/>
      </c>
      <c r="BQ57" s="311">
        <f>K57*S57</f>
        <v/>
      </c>
      <c r="BR57" s="311">
        <f>K57*T57*0.4</f>
        <v/>
      </c>
      <c r="BS57" s="270">
        <f>K57*T57</f>
        <v/>
      </c>
      <c r="BT57" s="270">
        <f>R57*K57*0.2</f>
        <v/>
      </c>
      <c r="BU57" s="270">
        <f>R57*K57</f>
        <v/>
      </c>
      <c r="BV57" s="270">
        <f>S57*K57*0.2</f>
        <v/>
      </c>
      <c r="BW57" s="270">
        <f>S57*K57</f>
        <v/>
      </c>
      <c r="BX57" s="270">
        <f>T57*K57*0.2</f>
        <v/>
      </c>
      <c r="BY57" s="270">
        <f>T57*K57</f>
        <v/>
      </c>
      <c r="BZ57" s="274">
        <f>R57*K57*0.33</f>
        <v/>
      </c>
      <c r="CA57" s="274">
        <f>R57*K57</f>
        <v/>
      </c>
      <c r="CB57" s="274">
        <f>S57*K57*0.33</f>
        <v/>
      </c>
      <c r="CC57" s="274">
        <f>S57*K57</f>
        <v/>
      </c>
      <c r="CD57" s="274">
        <f>T57*K57*0.33</f>
        <v/>
      </c>
      <c r="CE57" s="274">
        <f>T57*K57</f>
        <v/>
      </c>
    </row>
    <row r="58" ht="105" customFormat="1" customHeight="1" s="277">
      <c r="A58" s="277" t="n">
        <v>55</v>
      </c>
      <c r="B58" s="276" t="inlineStr">
        <is>
          <t>Şeffaflık (Raporlama)</t>
        </is>
      </c>
      <c r="C58" s="276" t="inlineStr">
        <is>
          <t>Hesap Verilebilirlik: Verilerin (Örn: Gözlü'deki IPCC katsayıları) dış paydaşlara ne kadar açık sunulduğu.</t>
        </is>
      </c>
      <c r="D58" s="277">
        <f>ESG_FO_Makale!$G$19</f>
        <v/>
      </c>
      <c r="E58" s="277" t="n">
        <v>0.06</v>
      </c>
      <c r="F58" s="277">
        <f>D58*E58</f>
        <v/>
      </c>
      <c r="G58" s="277">
        <f>ESG_FO_AnaBlok!$G$19</f>
        <v/>
      </c>
      <c r="H58" s="277">
        <f>G_AltGruplar!$E$14</f>
        <v/>
      </c>
      <c r="I58" s="277">
        <f>G_UyumPolit!O32</f>
        <v/>
      </c>
      <c r="J58" s="277">
        <f>G58*H58*I58</f>
        <v/>
      </c>
      <c r="K58" s="277">
        <f>H58*I58</f>
        <v/>
      </c>
      <c r="L58" s="277" t="inlineStr">
        <is>
          <t>Kurum genelinde gerçekleştirilen faaliyetler sektör raporları ve faaliyet raporları halinde her yıl yayınlanmaktadır. Ayrıca İç ve Dış Denetim Faaliyetleri yürütülmektedir.</t>
        </is>
      </c>
      <c r="M58" s="277" t="n">
        <v>5</v>
      </c>
      <c r="N58" s="277" t="inlineStr">
        <is>
          <t>Kurum genelinde gerçekleştirilen faaliyetler sektör raporları ve faaliyet raporları halinde her yıl yayınlanmaktadır. Ayrıca İç ve Dış Denetim Faaliyetleri yürütülmektedir.</t>
        </is>
      </c>
      <c r="O58" s="278" t="n">
        <v>5</v>
      </c>
      <c r="P58" s="277" t="inlineStr">
        <is>
          <t>Kurum genelinde gerçekleştirilen faaliyetler sektör raporları ve faaliyet raporları halinde her yıl yayınlanmaktadır. Ayrıca İç ve Dış Denetim Faaliyetleri yürütülmektedir.</t>
        </is>
      </c>
      <c r="Q58" s="277" t="n">
        <v>5</v>
      </c>
      <c r="R58" s="277">
        <f>100*(M58-1)/4</f>
        <v/>
      </c>
      <c r="S58" s="277">
        <f>100*(O58-1)/4</f>
        <v/>
      </c>
      <c r="T58" s="277">
        <f>100*(Q58-1)/4</f>
        <v/>
      </c>
      <c r="U58" s="277">
        <f>R58*J58</f>
        <v/>
      </c>
      <c r="V58" s="277">
        <f>R58*K58</f>
        <v/>
      </c>
      <c r="W58" s="277">
        <f>S58*$J58</f>
        <v/>
      </c>
      <c r="X58" s="277">
        <f>S58*K58</f>
        <v/>
      </c>
      <c r="Y58" s="277">
        <f>T58*$J58</f>
        <v/>
      </c>
      <c r="Z58" s="277">
        <f>T58*K58</f>
        <v/>
      </c>
      <c r="AA58" s="277">
        <f>R58*F58</f>
        <v/>
      </c>
      <c r="AB58" s="277">
        <f>R58*E58</f>
        <v/>
      </c>
      <c r="AC58" s="277">
        <f>S58*F58</f>
        <v/>
      </c>
      <c r="AD58" s="277">
        <f>S58*E58</f>
        <v/>
      </c>
      <c r="AE58" s="277">
        <f>T58*F58</f>
        <v/>
      </c>
      <c r="AF58" s="277">
        <f>T58*E58</f>
        <v/>
      </c>
      <c r="AG58" s="286">
        <f>R58*0.25*K58</f>
        <v/>
      </c>
      <c r="AH58" s="286">
        <f>K58*R58</f>
        <v/>
      </c>
      <c r="AI58" s="286">
        <f>S58*0.25*$K58</f>
        <v/>
      </c>
      <c r="AJ58" s="286">
        <f>S58*K58</f>
        <v/>
      </c>
      <c r="AK58" s="286">
        <f>T58*0.25*$K58</f>
        <v/>
      </c>
      <c r="AL58" s="286">
        <f>K58*T58</f>
        <v/>
      </c>
      <c r="AM58" s="286">
        <f>1/2</f>
        <v/>
      </c>
      <c r="AN58" s="277">
        <f>R58*I58*AM58*0.25</f>
        <v/>
      </c>
      <c r="AO58" s="277">
        <f>R58*I58*AM58</f>
        <v/>
      </c>
      <c r="AP58" s="277">
        <f>S58*I58*AM58*0.25</f>
        <v/>
      </c>
      <c r="AQ58" s="277">
        <f>S58*I58*AM58</f>
        <v/>
      </c>
      <c r="AR58" s="277">
        <f>T58*I58*AM58*0.25</f>
        <v/>
      </c>
      <c r="AS58" s="277">
        <f>T58*I58*AM58</f>
        <v/>
      </c>
      <c r="AT58" s="277">
        <f>1/12</f>
        <v/>
      </c>
      <c r="AU58" s="277">
        <f>0.5</f>
        <v/>
      </c>
      <c r="AV58" s="277">
        <f>R58*AT58*AU58*0.25</f>
        <v/>
      </c>
      <c r="AW58" s="277">
        <f>R58*AT58*AU58</f>
        <v/>
      </c>
      <c r="AX58" s="277">
        <f>S58*AT58*AU58*0.25</f>
        <v/>
      </c>
      <c r="AY58" s="277">
        <f>S58*AT58*AU58</f>
        <v/>
      </c>
      <c r="AZ58" s="277">
        <f>T58*AT58*AU58*0.25</f>
        <v/>
      </c>
      <c r="BA58" s="277">
        <f>T58*AT58*AU58</f>
        <v/>
      </c>
      <c r="BB58" s="277">
        <f>R58*K58*0.2</f>
        <v/>
      </c>
      <c r="BC58" s="277">
        <f>R58*K58</f>
        <v/>
      </c>
      <c r="BD58" s="274">
        <f>S58*K58*0.2</f>
        <v/>
      </c>
      <c r="BE58" s="277">
        <f>S58*K58</f>
        <v/>
      </c>
      <c r="BF58" s="288">
        <f>T58*K58*0.2</f>
        <v/>
      </c>
      <c r="BG58" s="308">
        <f>T58*K58</f>
        <v/>
      </c>
      <c r="BH58" s="308">
        <f>R58*K58*0.2</f>
        <v/>
      </c>
      <c r="BI58" s="308">
        <f>R58*K58</f>
        <v/>
      </c>
      <c r="BJ58" s="308">
        <f>S58*K58*0.2</f>
        <v/>
      </c>
      <c r="BK58" s="308">
        <f>S58*K58</f>
        <v/>
      </c>
      <c r="BL58" s="308">
        <f>T58*K58*0.2</f>
        <v/>
      </c>
      <c r="BM58" s="311">
        <f>T58*K58</f>
        <v/>
      </c>
      <c r="BN58" s="311">
        <f>R58*K58*0.4</f>
        <v/>
      </c>
      <c r="BO58" s="311">
        <f>K58*R58</f>
        <v/>
      </c>
      <c r="BP58" s="311">
        <f>S58*K58*0.4</f>
        <v/>
      </c>
      <c r="BQ58" s="311">
        <f>K58*S58</f>
        <v/>
      </c>
      <c r="BR58" s="311">
        <f>K58*T58*0.4</f>
        <v/>
      </c>
      <c r="BS58" s="270">
        <f>K58*T58</f>
        <v/>
      </c>
      <c r="BT58" s="270">
        <f>R58*K58*0.2</f>
        <v/>
      </c>
      <c r="BU58" s="270">
        <f>R58*K58</f>
        <v/>
      </c>
      <c r="BV58" s="270">
        <f>S58*K58*0.2</f>
        <v/>
      </c>
      <c r="BW58" s="270">
        <f>S58*K58</f>
        <v/>
      </c>
      <c r="BX58" s="270">
        <f>T58*K58*0.2</f>
        <v/>
      </c>
      <c r="BY58" s="270">
        <f>T58*K58</f>
        <v/>
      </c>
      <c r="BZ58" s="274">
        <f>R58*K58*0.33</f>
        <v/>
      </c>
      <c r="CA58" s="274">
        <f>R58*K58</f>
        <v/>
      </c>
      <c r="CB58" s="274">
        <f>S58*K58*0.33</f>
        <v/>
      </c>
      <c r="CC58" s="274">
        <f>S58*K58</f>
        <v/>
      </c>
      <c r="CD58" s="274">
        <f>T58*K58*0.33</f>
        <v/>
      </c>
      <c r="CE58" s="274">
        <f>T58*K58</f>
        <v/>
      </c>
    </row>
    <row r="59" ht="105" customFormat="1" customHeight="1" s="277">
      <c r="A59" s="277" t="n">
        <v>56</v>
      </c>
      <c r="B59" s="276" t="inlineStr">
        <is>
          <t>Denetlenebilirlik</t>
        </is>
      </c>
      <c r="C59" s="276" t="inlineStr">
        <is>
          <t>Doğrulanabilirlik: Kanıtların (fatura, sayaç, rapor) denetime ne kadar hazır ve düzenli olduğu.</t>
        </is>
      </c>
      <c r="D59" s="277">
        <f>ESG_FO_Makale!$G$19</f>
        <v/>
      </c>
      <c r="E59" s="277" t="n">
        <v>0.03</v>
      </c>
      <c r="F59" s="277">
        <f>D59*E59</f>
        <v/>
      </c>
      <c r="G59" s="277">
        <f>ESG_FO_AnaBlok!$G$19</f>
        <v/>
      </c>
      <c r="H59" s="277">
        <f>G_AltGruplar!$E$14</f>
        <v/>
      </c>
      <c r="I59" s="277">
        <f>G_UyumPolit!O33</f>
        <v/>
      </c>
      <c r="J59" s="277">
        <f>G59*H59*I59</f>
        <v/>
      </c>
      <c r="K59" s="277">
        <f>H59*I59</f>
        <v/>
      </c>
      <c r="L59" s="277" t="inlineStr">
        <is>
          <t>Kurum genelinde gerçekleştirilen faaliyetler sektör raporları ve faaliyet raporları halinde her yıl yayınlanmaktadır. Ayrıca İç ve Dış Denetim Faaliyetleri yürütülmektedir.</t>
        </is>
      </c>
      <c r="M59" s="277" t="n">
        <v>5</v>
      </c>
      <c r="N59" s="277" t="inlineStr">
        <is>
          <t>Kurum genelinde gerçekleştirilen faaliyetler sektör raporları ve faaliyet raporları halinde her yıl yayınlanmaktadır. Ayrıca İç ve Dış Denetim Faaliyetleri yürütülmektedir.</t>
        </is>
      </c>
      <c r="O59" s="278" t="n">
        <v>5</v>
      </c>
      <c r="P59" s="277" t="inlineStr">
        <is>
          <t>Kurum genelinde gerçekleştirilen faaliyetler sektör raporları ve faaliyet raporları halinde her yıl yayınlanmaktadır. Ayrıca İç ve Dış Denetim Faaliyetleri yürütülmektedir.</t>
        </is>
      </c>
      <c r="Q59" s="277" t="n">
        <v>5</v>
      </c>
      <c r="R59" s="277">
        <f>100*(M59-1)/4</f>
        <v/>
      </c>
      <c r="S59" s="277">
        <f>100*(O59-1)/4</f>
        <v/>
      </c>
      <c r="T59" s="277">
        <f>100*(Q59-1)/4</f>
        <v/>
      </c>
      <c r="U59" s="277">
        <f>R59*J59</f>
        <v/>
      </c>
      <c r="V59" s="277">
        <f>R59*K59</f>
        <v/>
      </c>
      <c r="W59" s="277">
        <f>S59*$J59</f>
        <v/>
      </c>
      <c r="X59" s="277">
        <f>S59*K59</f>
        <v/>
      </c>
      <c r="Y59" s="277">
        <f>T59*$J59</f>
        <v/>
      </c>
      <c r="Z59" s="277">
        <f>T59*K59</f>
        <v/>
      </c>
      <c r="AA59" s="277">
        <f>R59*F59</f>
        <v/>
      </c>
      <c r="AB59" s="277">
        <f>R59*E59</f>
        <v/>
      </c>
      <c r="AC59" s="277">
        <f>S59*F59</f>
        <v/>
      </c>
      <c r="AD59" s="277">
        <f>S59*E59</f>
        <v/>
      </c>
      <c r="AE59" s="277">
        <f>T59*F59</f>
        <v/>
      </c>
      <c r="AF59" s="277">
        <f>T59*E59</f>
        <v/>
      </c>
      <c r="AG59" s="286">
        <f>R59*0.25*K59</f>
        <v/>
      </c>
      <c r="AH59" s="286">
        <f>K59*R59</f>
        <v/>
      </c>
      <c r="AI59" s="286">
        <f>S59*0.25*$K59</f>
        <v/>
      </c>
      <c r="AJ59" s="286">
        <f>S59*K59</f>
        <v/>
      </c>
      <c r="AK59" s="286">
        <f>T59*0.25*$K59</f>
        <v/>
      </c>
      <c r="AL59" s="286">
        <f>K59*T59</f>
        <v/>
      </c>
      <c r="AM59" s="286">
        <f>1/2</f>
        <v/>
      </c>
      <c r="AN59" s="277">
        <f>R59*I59*AM59*0.25</f>
        <v/>
      </c>
      <c r="AO59" s="277">
        <f>R59*I59*AM59</f>
        <v/>
      </c>
      <c r="AP59" s="277">
        <f>S59*I59*AM59*0.25</f>
        <v/>
      </c>
      <c r="AQ59" s="277">
        <f>S59*I59*AM59</f>
        <v/>
      </c>
      <c r="AR59" s="277">
        <f>T59*I59*AM59*0.25</f>
        <v/>
      </c>
      <c r="AS59" s="277">
        <f>T59*I59*AM59</f>
        <v/>
      </c>
      <c r="AT59" s="277">
        <f>1/12</f>
        <v/>
      </c>
      <c r="AU59" s="277">
        <f>0.5</f>
        <v/>
      </c>
      <c r="AV59" s="277">
        <f>R59*AT59*AU59*0.25</f>
        <v/>
      </c>
      <c r="AW59" s="277">
        <f>R59*AT59*AU59</f>
        <v/>
      </c>
      <c r="AX59" s="277">
        <f>S59*AT59*AU59*0.25</f>
        <v/>
      </c>
      <c r="AY59" s="277">
        <f>S59*AT59*AU59</f>
        <v/>
      </c>
      <c r="AZ59" s="277">
        <f>T59*AT59*AU59*0.25</f>
        <v/>
      </c>
      <c r="BA59" s="277">
        <f>T59*AT59*AU59</f>
        <v/>
      </c>
      <c r="BB59" s="277">
        <f>R59*K59*0.2</f>
        <v/>
      </c>
      <c r="BC59" s="277">
        <f>R59*K59</f>
        <v/>
      </c>
      <c r="BD59" s="274">
        <f>S59*K59*0.2</f>
        <v/>
      </c>
      <c r="BE59" s="277">
        <f>S59*K59</f>
        <v/>
      </c>
      <c r="BF59" s="288">
        <f>T59*K59*0.2</f>
        <v/>
      </c>
      <c r="BG59" s="308">
        <f>T59*K59</f>
        <v/>
      </c>
      <c r="BH59" s="308">
        <f>R59*K59*0.2</f>
        <v/>
      </c>
      <c r="BI59" s="308">
        <f>R59*K59</f>
        <v/>
      </c>
      <c r="BJ59" s="308">
        <f>S59*K59*0.2</f>
        <v/>
      </c>
      <c r="BK59" s="308">
        <f>S59*K59</f>
        <v/>
      </c>
      <c r="BL59" s="308">
        <f>T59*K59*0.2</f>
        <v/>
      </c>
      <c r="BM59" s="311">
        <f>T59*K59</f>
        <v/>
      </c>
      <c r="BN59" s="311">
        <f>R59*K59*0.4</f>
        <v/>
      </c>
      <c r="BO59" s="311">
        <f>K59*R59</f>
        <v/>
      </c>
      <c r="BP59" s="311">
        <f>S59*K59*0.4</f>
        <v/>
      </c>
      <c r="BQ59" s="311">
        <f>K59*S59</f>
        <v/>
      </c>
      <c r="BR59" s="311">
        <f>K59*T59*0.4</f>
        <v/>
      </c>
      <c r="BS59" s="270">
        <f>K59*T59</f>
        <v/>
      </c>
      <c r="BT59" s="270">
        <f>R59*K59*0.2</f>
        <v/>
      </c>
      <c r="BU59" s="270">
        <f>R59*K59</f>
        <v/>
      </c>
      <c r="BV59" s="270">
        <f>S59*K59*0.2</f>
        <v/>
      </c>
      <c r="BW59" s="270">
        <f>S59*K59</f>
        <v/>
      </c>
      <c r="BX59" s="270">
        <f>T59*K59*0.2</f>
        <v/>
      </c>
      <c r="BY59" s="270">
        <f>T59*K59</f>
        <v/>
      </c>
      <c r="BZ59" s="274">
        <f>R59*K59*0.33</f>
        <v/>
      </c>
      <c r="CA59" s="274">
        <f>R59*K59</f>
        <v/>
      </c>
      <c r="CB59" s="274">
        <f>S59*K59*0.33</f>
        <v/>
      </c>
      <c r="CC59" s="274">
        <f>S59*K59</f>
        <v/>
      </c>
      <c r="CD59" s="274">
        <f>T59*K59*0.33</f>
        <v/>
      </c>
      <c r="CE59" s="274">
        <f>T59*K59</f>
        <v/>
      </c>
    </row>
    <row r="60" ht="90" customFormat="1" customHeight="1" s="277">
      <c r="A60" s="277" t="n">
        <v>57</v>
      </c>
      <c r="B60" s="276" t="inlineStr">
        <is>
          <t>İç Denetimin Bağımsızlık Düzeyi</t>
        </is>
      </c>
      <c r="C60" s="276" t="inlineStr">
        <is>
          <t>Denetim Güvencesi: Denetçinin tarafsızlığı, sürdürülebilirlik verilerinin doğruluğu için en kritik "yönetişim" şartıdır.</t>
        </is>
      </c>
      <c r="D60" s="277">
        <f>ESG_FO_Makale!$G$19</f>
        <v/>
      </c>
      <c r="E60" s="277" t="n">
        <v>0.09</v>
      </c>
      <c r="F60" s="277">
        <f>D60*E60</f>
        <v/>
      </c>
      <c r="G60" s="277">
        <f>ESG_FO_AnaBlok!$G$19</f>
        <v/>
      </c>
      <c r="H60" s="277">
        <f>G_AltGruplar!$E$14</f>
        <v/>
      </c>
      <c r="I60" s="277">
        <f>G_UyumPolit!O34</f>
        <v/>
      </c>
      <c r="J60" s="277">
        <f>G60*H60*I60</f>
        <v/>
      </c>
      <c r="K60" s="277">
        <f>H60*I60</f>
        <v/>
      </c>
      <c r="L60" s="277" t="inlineStr">
        <is>
          <t>İç Denetim, Üst Yöneticiye direkt bağlı olarak hiyerarşik yapıda yer almakta ve 2022 yılından itibaren faaliyetlerini kesintisiz sürdürmektedir.</t>
        </is>
      </c>
      <c r="M60" s="277" t="n">
        <v>5</v>
      </c>
      <c r="N60" s="277" t="inlineStr">
        <is>
          <t>İç Denetim, Üst Yöneticiye direkt bağlı olarak hiyerarşik yapıda yer almakta ve 2022 yılından itibaren faaliyetlerini kesintisiz sürdürmektedir.</t>
        </is>
      </c>
      <c r="O60" s="278" t="n">
        <v>5</v>
      </c>
      <c r="P60" s="277" t="inlineStr">
        <is>
          <t>İç Denetim, Üst Yöneticiye direkt bağlı olarak hiyerarşik yapıda yer almakta ve 2022 yılından itibaren faaliyetlerini kesintisiz sürdürmektedir.</t>
        </is>
      </c>
      <c r="Q60" s="277" t="n">
        <v>5</v>
      </c>
      <c r="R60" s="277">
        <f>100*(M60-1)/4</f>
        <v/>
      </c>
      <c r="S60" s="277">
        <f>100*(O60-1)/4</f>
        <v/>
      </c>
      <c r="T60" s="277">
        <f>100*(Q60-1)/4</f>
        <v/>
      </c>
      <c r="U60" s="277">
        <f>R60*J60</f>
        <v/>
      </c>
      <c r="V60" s="277">
        <f>R60*K60</f>
        <v/>
      </c>
      <c r="W60" s="277">
        <f>S60*$J60</f>
        <v/>
      </c>
      <c r="X60" s="277">
        <f>S60*K60</f>
        <v/>
      </c>
      <c r="Y60" s="277">
        <f>T60*$J60</f>
        <v/>
      </c>
      <c r="Z60" s="277">
        <f>T60*K60</f>
        <v/>
      </c>
      <c r="AA60" s="277">
        <f>R60*F60</f>
        <v/>
      </c>
      <c r="AB60" s="277">
        <f>R60*E60</f>
        <v/>
      </c>
      <c r="AC60" s="277">
        <f>S60*F60</f>
        <v/>
      </c>
      <c r="AD60" s="277">
        <f>S60*E60</f>
        <v/>
      </c>
      <c r="AE60" s="277">
        <f>T60*F60</f>
        <v/>
      </c>
      <c r="AF60" s="277">
        <f>T60*E60</f>
        <v/>
      </c>
      <c r="AG60" s="286">
        <f>R60*0.25*K60</f>
        <v/>
      </c>
      <c r="AH60" s="286">
        <f>K60*R60</f>
        <v/>
      </c>
      <c r="AI60" s="286">
        <f>S60*0.25*$K60</f>
        <v/>
      </c>
      <c r="AJ60" s="286">
        <f>S60*K60</f>
        <v/>
      </c>
      <c r="AK60" s="286">
        <f>T60*0.25*$K60</f>
        <v/>
      </c>
      <c r="AL60" s="286">
        <f>K60*T60</f>
        <v/>
      </c>
      <c r="AM60" s="286">
        <f>1/2</f>
        <v/>
      </c>
      <c r="AN60" s="277">
        <f>R60*I60*AM60*0.25</f>
        <v/>
      </c>
      <c r="AO60" s="277">
        <f>R60*I60*AM60</f>
        <v/>
      </c>
      <c r="AP60" s="277">
        <f>S60*I60*AM60*0.25</f>
        <v/>
      </c>
      <c r="AQ60" s="277">
        <f>S60*I60*AM60</f>
        <v/>
      </c>
      <c r="AR60" s="277">
        <f>T60*I60*AM60*0.25</f>
        <v/>
      </c>
      <c r="AS60" s="277">
        <f>T60*I60*AM60</f>
        <v/>
      </c>
      <c r="AT60" s="277">
        <f>1/12</f>
        <v/>
      </c>
      <c r="AU60" s="277">
        <f>0.5</f>
        <v/>
      </c>
      <c r="AV60" s="277">
        <f>R60*AT60*AU60*0.25</f>
        <v/>
      </c>
      <c r="AW60" s="277">
        <f>R60*AT60*AU60</f>
        <v/>
      </c>
      <c r="AX60" s="277">
        <f>S60*AT60*AU60*0.25</f>
        <v/>
      </c>
      <c r="AY60" s="277">
        <f>S60*AT60*AU60</f>
        <v/>
      </c>
      <c r="AZ60" s="277">
        <f>T60*AT60*AU60*0.25</f>
        <v/>
      </c>
      <c r="BA60" s="277">
        <f>T60*AT60*AU60</f>
        <v/>
      </c>
      <c r="BB60" s="277">
        <f>R60*K60*0.2</f>
        <v/>
      </c>
      <c r="BC60" s="277">
        <f>R60*K60</f>
        <v/>
      </c>
      <c r="BD60" s="274">
        <f>S60*K60*0.2</f>
        <v/>
      </c>
      <c r="BE60" s="277">
        <f>S60*K60</f>
        <v/>
      </c>
      <c r="BF60" s="288">
        <f>T60*K60*0.2</f>
        <v/>
      </c>
      <c r="BG60" s="308">
        <f>T60*K60</f>
        <v/>
      </c>
      <c r="BH60" s="308">
        <f>R60*K60*0.2</f>
        <v/>
      </c>
      <c r="BI60" s="308">
        <f>R60*K60</f>
        <v/>
      </c>
      <c r="BJ60" s="308">
        <f>S60*K60*0.2</f>
        <v/>
      </c>
      <c r="BK60" s="308">
        <f>S60*K60</f>
        <v/>
      </c>
      <c r="BL60" s="308">
        <f>T60*K60*0.2</f>
        <v/>
      </c>
      <c r="BM60" s="311">
        <f>T60*K60</f>
        <v/>
      </c>
      <c r="BN60" s="311">
        <f>R60*K60*0.4</f>
        <v/>
      </c>
      <c r="BO60" s="311">
        <f>K60*R60</f>
        <v/>
      </c>
      <c r="BP60" s="311">
        <f>S60*K60*0.4</f>
        <v/>
      </c>
      <c r="BQ60" s="311">
        <f>K60*S60</f>
        <v/>
      </c>
      <c r="BR60" s="311">
        <f>K60*T60*0.4</f>
        <v/>
      </c>
      <c r="BS60" s="270">
        <f>K60*T60</f>
        <v/>
      </c>
      <c r="BT60" s="270">
        <f>R60*K60*0.2</f>
        <v/>
      </c>
      <c r="BU60" s="270">
        <f>R60*K60</f>
        <v/>
      </c>
      <c r="BV60" s="270">
        <f>S60*K60*0.2</f>
        <v/>
      </c>
      <c r="BW60" s="270">
        <f>S60*K60</f>
        <v/>
      </c>
      <c r="BX60" s="270">
        <f>T60*K60*0.2</f>
        <v/>
      </c>
      <c r="BY60" s="270">
        <f>T60*K60</f>
        <v/>
      </c>
      <c r="BZ60" s="274">
        <f>R60*K60*0.33</f>
        <v/>
      </c>
      <c r="CA60" s="274">
        <f>R60*K60</f>
        <v/>
      </c>
      <c r="CB60" s="274">
        <f>S60*K60*0.33</f>
        <v/>
      </c>
      <c r="CC60" s="274">
        <f>S60*K60</f>
        <v/>
      </c>
      <c r="CD60" s="274">
        <f>T60*K60*0.33</f>
        <v/>
      </c>
      <c r="CE60" s="274">
        <f>T60*K60</f>
        <v/>
      </c>
    </row>
    <row r="61" ht="63.75" customFormat="1" customHeight="1" s="277">
      <c r="A61" s="277" t="n">
        <v>58</v>
      </c>
      <c r="B61" s="276" t="inlineStr">
        <is>
          <t>Sürdürülebilirlik Denetimi geçmişi</t>
        </is>
      </c>
      <c r="C61" s="276" t="inlineStr">
        <is>
          <t>Öğrenme Eğrisi: Kurumun daha önce bu denetimlerden geçip geçmediği ve iyileşme hızı.</t>
        </is>
      </c>
      <c r="D61" s="277">
        <f>ESG_FO_Makale!$G$19</f>
        <v/>
      </c>
      <c r="E61" s="277" t="n">
        <v>0.048</v>
      </c>
      <c r="F61" s="277">
        <f>D61*E61</f>
        <v/>
      </c>
      <c r="G61" s="277">
        <f>ESG_FO_AnaBlok!$G$19</f>
        <v/>
      </c>
      <c r="H61" s="277">
        <f>G_AltGruplar!$E$14</f>
        <v/>
      </c>
      <c r="I61" s="277">
        <f>G_UyumPolit!O35</f>
        <v/>
      </c>
      <c r="J61" s="277">
        <f>G61*H61*I61</f>
        <v/>
      </c>
      <c r="K61" s="277">
        <f>H61*I61</f>
        <v/>
      </c>
      <c r="L61" s="277" t="inlineStr">
        <is>
          <t>Henüz işletmede sürdürülebilirlik denetimi uygulanmamıştır</t>
        </is>
      </c>
      <c r="M61" s="277" t="n">
        <v>1</v>
      </c>
      <c r="N61" s="277" t="inlineStr">
        <is>
          <t>Henüz işletmede sürdürülebilirlik denetimi uygulanmamıştır</t>
        </is>
      </c>
      <c r="O61" s="278" t="n">
        <v>1</v>
      </c>
      <c r="P61" s="277" t="inlineStr">
        <is>
          <t>Henüz işletmede sürdürülebilirlik denetimi uygulanmamıştır</t>
        </is>
      </c>
      <c r="Q61" s="277" t="n">
        <v>1</v>
      </c>
      <c r="R61" s="277">
        <f>100*(M61-1)/4</f>
        <v/>
      </c>
      <c r="S61" s="277">
        <f>100*(O61-1)/4</f>
        <v/>
      </c>
      <c r="T61" s="277">
        <f>100*(Q61-1)/4</f>
        <v/>
      </c>
      <c r="U61" s="277">
        <f>R61*J61</f>
        <v/>
      </c>
      <c r="V61" s="277">
        <f>R61*K61</f>
        <v/>
      </c>
      <c r="W61" s="277">
        <f>S61*$J61</f>
        <v/>
      </c>
      <c r="X61" s="277">
        <f>S61*K61</f>
        <v/>
      </c>
      <c r="Y61" s="277">
        <f>T61*$J61</f>
        <v/>
      </c>
      <c r="Z61" s="277">
        <f>T61*K61</f>
        <v/>
      </c>
      <c r="AA61" s="277">
        <f>R61*F61</f>
        <v/>
      </c>
      <c r="AB61" s="277">
        <f>R61*E61</f>
        <v/>
      </c>
      <c r="AC61" s="277">
        <f>S61*F61</f>
        <v/>
      </c>
      <c r="AD61" s="277">
        <f>S61*E61</f>
        <v/>
      </c>
      <c r="AE61" s="277">
        <f>T61*F61</f>
        <v/>
      </c>
      <c r="AF61" s="277">
        <f>T61*E61</f>
        <v/>
      </c>
      <c r="AG61" s="286">
        <f>R61*0.25*K61</f>
        <v/>
      </c>
      <c r="AH61" s="286">
        <f>K61*R61</f>
        <v/>
      </c>
      <c r="AI61" s="286">
        <f>S61*0.25*$K61</f>
        <v/>
      </c>
      <c r="AJ61" s="286">
        <f>S61*K61</f>
        <v/>
      </c>
      <c r="AK61" s="286">
        <f>T61*0.25*$K61</f>
        <v/>
      </c>
      <c r="AL61" s="286">
        <f>K61*T61</f>
        <v/>
      </c>
      <c r="AM61" s="286">
        <f>1/2</f>
        <v/>
      </c>
      <c r="AN61" s="277">
        <f>R61*I61*AM61*0.25</f>
        <v/>
      </c>
      <c r="AO61" s="277">
        <f>R61*I61*AM61</f>
        <v/>
      </c>
      <c r="AP61" s="277">
        <f>S61*I61*AM61*0.25</f>
        <v/>
      </c>
      <c r="AQ61" s="277">
        <f>S61*I61*AM61</f>
        <v/>
      </c>
      <c r="AR61" s="277">
        <f>T61*I61*AM61*0.25</f>
        <v/>
      </c>
      <c r="AS61" s="277">
        <f>T61*I61*AM61</f>
        <v/>
      </c>
      <c r="AT61" s="277">
        <f>1/12</f>
        <v/>
      </c>
      <c r="AU61" s="277">
        <f>0.5</f>
        <v/>
      </c>
      <c r="AV61" s="277">
        <f>R61*AT61*AU61*0.25</f>
        <v/>
      </c>
      <c r="AW61" s="277">
        <f>R61*AT61*AU61</f>
        <v/>
      </c>
      <c r="AX61" s="277">
        <f>S61*AT61*AU61*0.25</f>
        <v/>
      </c>
      <c r="AY61" s="277">
        <f>S61*AT61*AU61</f>
        <v/>
      </c>
      <c r="AZ61" s="277">
        <f>T61*AT61*AU61*0.25</f>
        <v/>
      </c>
      <c r="BA61" s="277">
        <f>T61*AT61*AU61</f>
        <v/>
      </c>
      <c r="BB61" s="277">
        <f>R61*K61*0.2</f>
        <v/>
      </c>
      <c r="BC61" s="277">
        <f>R61*K61</f>
        <v/>
      </c>
      <c r="BD61" s="274">
        <f>S61*K61*0.2</f>
        <v/>
      </c>
      <c r="BE61" s="277">
        <f>S61*K61</f>
        <v/>
      </c>
      <c r="BF61" s="288">
        <f>T61*K61*0.2</f>
        <v/>
      </c>
      <c r="BG61" s="308">
        <f>T61*K61</f>
        <v/>
      </c>
      <c r="BH61" s="308">
        <f>R61*K61*0.2</f>
        <v/>
      </c>
      <c r="BI61" s="308">
        <f>R61*K61</f>
        <v/>
      </c>
      <c r="BJ61" s="308">
        <f>S61*K61*0.2</f>
        <v/>
      </c>
      <c r="BK61" s="308">
        <f>S61*K61</f>
        <v/>
      </c>
      <c r="BL61" s="308">
        <f>T61*K61*0.2</f>
        <v/>
      </c>
      <c r="BM61" s="311">
        <f>T61*K61</f>
        <v/>
      </c>
      <c r="BN61" s="311">
        <f>R61*K61*0.4</f>
        <v/>
      </c>
      <c r="BO61" s="311">
        <f>K61*R61</f>
        <v/>
      </c>
      <c r="BP61" s="311">
        <f>S61*K61*0.4</f>
        <v/>
      </c>
      <c r="BQ61" s="311">
        <f>K61*S61</f>
        <v/>
      </c>
      <c r="BR61" s="311">
        <f>K61*T61*0.4</f>
        <v/>
      </c>
      <c r="BS61" s="270">
        <f>K61*T61</f>
        <v/>
      </c>
      <c r="BT61" s="270">
        <f>R61*K61*0.2</f>
        <v/>
      </c>
      <c r="BU61" s="270">
        <f>R61*K61</f>
        <v/>
      </c>
      <c r="BV61" s="270">
        <f>S61*K61*0.2</f>
        <v/>
      </c>
      <c r="BW61" s="270">
        <f>S61*K61</f>
        <v/>
      </c>
      <c r="BX61" s="270">
        <f>T61*K61*0.2</f>
        <v/>
      </c>
      <c r="BY61" s="270">
        <f>T61*K61</f>
        <v/>
      </c>
      <c r="BZ61" s="274">
        <f>R61*K61*0.33</f>
        <v/>
      </c>
      <c r="CA61" s="274">
        <f>R61*K61</f>
        <v/>
      </c>
      <c r="CB61" s="274">
        <f>S61*K61*0.33</f>
        <v/>
      </c>
      <c r="CC61" s="274">
        <f>S61*K61</f>
        <v/>
      </c>
      <c r="CD61" s="274">
        <f>T61*K61*0.33</f>
        <v/>
      </c>
      <c r="CE61" s="274">
        <f>T61*K61</f>
        <v/>
      </c>
    </row>
    <row r="62" ht="89.25" customFormat="1" customHeight="1" s="277">
      <c r="A62" s="277" t="n">
        <v>59</v>
      </c>
      <c r="B62" s="276" t="inlineStr">
        <is>
          <t>Sertifikasyon(ISO,Global GAP, İTU, Helal Gıda, vb)</t>
        </is>
      </c>
      <c r="C62" s="276" t="inlineStr">
        <is>
          <t>Kalite Kanıtı: Üretilen tohum ve damızlıkların uluslararası standartlarda sertifikalandırılması, pazara erişim ve güven için esastır.</t>
        </is>
      </c>
      <c r="D62" s="277">
        <f>ESG_FO_Makale!$G$19</f>
        <v/>
      </c>
      <c r="E62" s="277" t="n">
        <v>0.06</v>
      </c>
      <c r="F62" s="277">
        <f>D62*E62</f>
        <v/>
      </c>
      <c r="G62" s="277">
        <f>ESG_FO_AnaBlok!$G$19</f>
        <v/>
      </c>
      <c r="H62" s="277">
        <f>G_AltGruplar!$E$15</f>
        <v/>
      </c>
      <c r="I62" s="277">
        <f>G_TedarikRisk!J19</f>
        <v/>
      </c>
      <c r="J62" s="277">
        <f>G62*H62*I62</f>
        <v/>
      </c>
      <c r="K62" s="277">
        <f>H62*I62</f>
        <v/>
      </c>
      <c r="L62" s="277" t="inlineStr">
        <is>
          <t>2021 yılından beri işletme bünyesinde İTU devam ettirilmektedir. Uygulamada eksiklikler bulunmaktadır.</t>
        </is>
      </c>
      <c r="M62" s="277" t="n">
        <v>3</v>
      </c>
      <c r="N62" s="277" t="inlineStr">
        <is>
          <t>2019 yılından beri  işletme bünyesinde pilot işletme olarak başlanılan İTU devam ettirilmektedir. Uygulamada eksiklikler bulunmaktadır.</t>
        </is>
      </c>
      <c r="O62" s="278" t="n">
        <v>4</v>
      </c>
      <c r="P62" s="277" t="inlineStr">
        <is>
          <t>2021 yılından beri işletme bünyesinde İTU devam ettirilmektedir. Uygulamada eksiklikler bulunmaktadır.</t>
        </is>
      </c>
      <c r="Q62" s="277" t="n">
        <v>3</v>
      </c>
      <c r="R62" s="277">
        <f>100*(M62-1)/4</f>
        <v/>
      </c>
      <c r="S62" s="277">
        <f>100*(O62-1)/4</f>
        <v/>
      </c>
      <c r="T62" s="277">
        <f>100*(Q62-1)/4</f>
        <v/>
      </c>
      <c r="U62" s="277">
        <f>R62*J62</f>
        <v/>
      </c>
      <c r="V62" s="277">
        <f>R62*K62</f>
        <v/>
      </c>
      <c r="W62" s="277">
        <f>S62*$J62</f>
        <v/>
      </c>
      <c r="X62" s="277">
        <f>S62*K62</f>
        <v/>
      </c>
      <c r="Y62" s="277">
        <f>T62*$J62</f>
        <v/>
      </c>
      <c r="Z62" s="277">
        <f>T62*K62</f>
        <v/>
      </c>
      <c r="AA62" s="277">
        <f>R62*F62</f>
        <v/>
      </c>
      <c r="AB62" s="277">
        <f>R62*E62</f>
        <v/>
      </c>
      <c r="AC62" s="277">
        <f>S62*F62</f>
        <v/>
      </c>
      <c r="AD62" s="277">
        <f>S62*E62</f>
        <v/>
      </c>
      <c r="AE62" s="277">
        <f>T62*F62</f>
        <v/>
      </c>
      <c r="AF62" s="277">
        <f>T62*E62</f>
        <v/>
      </c>
      <c r="AG62" s="286">
        <f>R62*0.25*K62</f>
        <v/>
      </c>
      <c r="AH62" s="286">
        <f>K62*R62</f>
        <v/>
      </c>
      <c r="AI62" s="286">
        <f>S62*0.25*$K62</f>
        <v/>
      </c>
      <c r="AJ62" s="286">
        <f>S62*K62</f>
        <v/>
      </c>
      <c r="AK62" s="286">
        <f>T62*0.25*$K62</f>
        <v/>
      </c>
      <c r="AL62" s="286">
        <f>K62*T62</f>
        <v/>
      </c>
      <c r="AM62" s="286">
        <f>1/2</f>
        <v/>
      </c>
      <c r="AN62" s="277">
        <f>R62*I62*AM62*0.25</f>
        <v/>
      </c>
      <c r="AO62" s="277">
        <f>R62*I62*AM62</f>
        <v/>
      </c>
      <c r="AP62" s="277">
        <f>S62*I62*AM62*0.25</f>
        <v/>
      </c>
      <c r="AQ62" s="277">
        <f>S62*I62*AM62</f>
        <v/>
      </c>
      <c r="AR62" s="277">
        <f>T62*I62*AM62*0.25</f>
        <v/>
      </c>
      <c r="AS62" s="277">
        <f>T62*I62*AM62</f>
        <v/>
      </c>
      <c r="AT62" s="277">
        <f>1/7</f>
        <v/>
      </c>
      <c r="AU62" s="277">
        <f>0.5</f>
        <v/>
      </c>
      <c r="AV62" s="277">
        <f>R62*AT62*AU62*0.25</f>
        <v/>
      </c>
      <c r="AW62" s="277">
        <f>R62*AT62*AU62</f>
        <v/>
      </c>
      <c r="AX62" s="277">
        <f>S62*AT62*AU62*0.25</f>
        <v/>
      </c>
      <c r="AY62" s="277">
        <f>S62*AT62*AU62</f>
        <v/>
      </c>
      <c r="AZ62" s="277">
        <f>T62*AT62*AU62*0.25</f>
        <v/>
      </c>
      <c r="BA62" s="277">
        <f>T62*AT62*AU62</f>
        <v/>
      </c>
      <c r="BB62" s="277">
        <f>R62*K62*0.2</f>
        <v/>
      </c>
      <c r="BC62" s="277">
        <f>R62*K62</f>
        <v/>
      </c>
      <c r="BD62" s="274">
        <f>S62*K62*0.2</f>
        <v/>
      </c>
      <c r="BE62" s="277">
        <f>S62*K62</f>
        <v/>
      </c>
      <c r="BF62" s="288">
        <f>T62*K62*0.2</f>
        <v/>
      </c>
      <c r="BG62" s="308">
        <f>T62*K62</f>
        <v/>
      </c>
      <c r="BH62" s="308">
        <f>R62*K62*0.2</f>
        <v/>
      </c>
      <c r="BI62" s="308">
        <f>R62*K62</f>
        <v/>
      </c>
      <c r="BJ62" s="308">
        <f>S62*K62*0.2</f>
        <v/>
      </c>
      <c r="BK62" s="308">
        <f>S62*K62</f>
        <v/>
      </c>
      <c r="BL62" s="308">
        <f>T62*K62*0.2</f>
        <v/>
      </c>
      <c r="BM62" s="311">
        <f>T62*K62</f>
        <v/>
      </c>
      <c r="BN62" s="311">
        <f>R62*K62*0.4</f>
        <v/>
      </c>
      <c r="BO62" s="311">
        <f>K62*R62</f>
        <v/>
      </c>
      <c r="BP62" s="311">
        <f>S62*K62*0.4</f>
        <v/>
      </c>
      <c r="BQ62" s="311">
        <f>K62*S62</f>
        <v/>
      </c>
      <c r="BR62" s="311">
        <f>K62*T62*0.4</f>
        <v/>
      </c>
      <c r="BS62" s="270">
        <f>K62*T62</f>
        <v/>
      </c>
      <c r="BT62" s="270">
        <f>R62*K62*0.2</f>
        <v/>
      </c>
      <c r="BU62" s="270">
        <f>R62*K62</f>
        <v/>
      </c>
      <c r="BV62" s="270">
        <f>S62*K62*0.2</f>
        <v/>
      </c>
      <c r="BW62" s="270">
        <f>S62*K62</f>
        <v/>
      </c>
      <c r="BX62" s="270">
        <f>T62*K62*0.2</f>
        <v/>
      </c>
      <c r="BY62" s="270">
        <f>T62*K62</f>
        <v/>
      </c>
      <c r="BZ62" s="274">
        <f>R62*K62*0.33</f>
        <v/>
      </c>
      <c r="CA62" s="274">
        <f>R62*K62</f>
        <v/>
      </c>
      <c r="CB62" s="274">
        <f>S62*K62*0.33</f>
        <v/>
      </c>
      <c r="CC62" s="274">
        <f>S62*K62</f>
        <v/>
      </c>
      <c r="CD62" s="274">
        <f>T62*K62*0.33</f>
        <v/>
      </c>
      <c r="CE62" s="274">
        <f>T62*K62</f>
        <v/>
      </c>
    </row>
    <row r="63" ht="76.5" customFormat="1" customHeight="1" s="277">
      <c r="A63" s="277" t="n">
        <v>60</v>
      </c>
      <c r="B63" s="276" t="inlineStr">
        <is>
          <t>Kalite Yönetim Sistemi</t>
        </is>
      </c>
      <c r="C63" s="276" t="inlineStr">
        <is>
          <t>Süreç Disiplini: Operasyonların standartlara bağlılığı ve hata payının minimize edilmesini sağlayan kurumsal disiplindir.</t>
        </is>
      </c>
      <c r="D63" s="277">
        <f>ESG_FO_Makale!$G$19</f>
        <v/>
      </c>
      <c r="E63" s="277" t="n">
        <v>0.06</v>
      </c>
      <c r="F63" s="277">
        <f>D63*E63</f>
        <v/>
      </c>
      <c r="G63" s="277">
        <f>ESG_FO_AnaBlok!$G$19</f>
        <v/>
      </c>
      <c r="H63" s="277">
        <f>G_AltGruplar!$E$15</f>
        <v/>
      </c>
      <c r="I63" s="277">
        <f>G_TedarikRisk!J20</f>
        <v/>
      </c>
      <c r="J63" s="277">
        <f>G63*H63*I63</f>
        <v/>
      </c>
      <c r="K63" s="277">
        <f>H63*I63</f>
        <v/>
      </c>
      <c r="L63" s="277" t="inlineStr">
        <is>
          <t xml:space="preserve">Kurum genelinde Kalite Yönetim Sistemi çalışmaları devam etmektedir; </t>
        </is>
      </c>
      <c r="M63" s="277" t="n">
        <v>3</v>
      </c>
      <c r="N63" s="277" t="inlineStr">
        <is>
          <t xml:space="preserve">Kurum genelinde Kalite Yönetim Sistemi çalışmaları devam etmektedir; </t>
        </is>
      </c>
      <c r="O63" s="278" t="n">
        <v>3</v>
      </c>
      <c r="P63" s="277" t="inlineStr">
        <is>
          <t xml:space="preserve">Kurum genelinde Kalite Yönetim Sistemi çalışmaları devam etmektedir; </t>
        </is>
      </c>
      <c r="Q63" s="277" t="n">
        <v>3</v>
      </c>
      <c r="R63" s="277">
        <f>100*(M63-1)/4</f>
        <v/>
      </c>
      <c r="S63" s="277">
        <f>100*(O63-1)/4</f>
        <v/>
      </c>
      <c r="T63" s="277">
        <f>100*(Q63-1)/4</f>
        <v/>
      </c>
      <c r="U63" s="277">
        <f>R63*J63</f>
        <v/>
      </c>
      <c r="V63" s="277">
        <f>R63*K63</f>
        <v/>
      </c>
      <c r="W63" s="277">
        <f>S63*$J63</f>
        <v/>
      </c>
      <c r="X63" s="277">
        <f>S63*K63</f>
        <v/>
      </c>
      <c r="Y63" s="277">
        <f>T63*$J63</f>
        <v/>
      </c>
      <c r="Z63" s="277">
        <f>T63*K63</f>
        <v/>
      </c>
      <c r="AA63" s="277">
        <f>R63*F63</f>
        <v/>
      </c>
      <c r="AB63" s="277">
        <f>R63*E63</f>
        <v/>
      </c>
      <c r="AC63" s="277">
        <f>S63*F63</f>
        <v/>
      </c>
      <c r="AD63" s="277">
        <f>S63*E63</f>
        <v/>
      </c>
      <c r="AE63" s="277">
        <f>T63*F63</f>
        <v/>
      </c>
      <c r="AF63" s="277">
        <f>T63*E63</f>
        <v/>
      </c>
      <c r="AG63" s="286">
        <f>R63*0.25*K63</f>
        <v/>
      </c>
      <c r="AH63" s="286">
        <f>K63*R63</f>
        <v/>
      </c>
      <c r="AI63" s="286">
        <f>S63*0.25*$K63</f>
        <v/>
      </c>
      <c r="AJ63" s="286">
        <f>S63*K63</f>
        <v/>
      </c>
      <c r="AK63" s="286">
        <f>T63*0.25*$K63</f>
        <v/>
      </c>
      <c r="AL63" s="286">
        <f>K63*T63</f>
        <v/>
      </c>
      <c r="AM63" s="286">
        <f>1/2</f>
        <v/>
      </c>
      <c r="AN63" s="277">
        <f>R63*I63*AM63*0.25</f>
        <v/>
      </c>
      <c r="AO63" s="277">
        <f>R63*I63*AM63</f>
        <v/>
      </c>
      <c r="AP63" s="277">
        <f>S63*I63*AM63*0.25</f>
        <v/>
      </c>
      <c r="AQ63" s="277">
        <f>S63*I63*AM63</f>
        <v/>
      </c>
      <c r="AR63" s="277">
        <f>T63*I63*AM63*0.25</f>
        <v/>
      </c>
      <c r="AS63" s="277">
        <f>T63*I63*AM63</f>
        <v/>
      </c>
      <c r="AT63" s="277">
        <f>1/7</f>
        <v/>
      </c>
      <c r="AU63" s="277">
        <f>0.5</f>
        <v/>
      </c>
      <c r="AV63" s="277">
        <f>R63*AT63*AU63*0.25</f>
        <v/>
      </c>
      <c r="AW63" s="277">
        <f>R63*AT63*AU63</f>
        <v/>
      </c>
      <c r="AX63" s="277">
        <f>S63*AT63*AU63*0.25</f>
        <v/>
      </c>
      <c r="AY63" s="277">
        <f>S63*AT63*AU63</f>
        <v/>
      </c>
      <c r="AZ63" s="277">
        <f>T63*AT63*AU63*0.25</f>
        <v/>
      </c>
      <c r="BA63" s="277">
        <f>T63*AT63*AU63</f>
        <v/>
      </c>
      <c r="BB63" s="277">
        <f>R63*K63*0.2</f>
        <v/>
      </c>
      <c r="BC63" s="277">
        <f>R63*K63</f>
        <v/>
      </c>
      <c r="BD63" s="274">
        <f>S63*K63*0.2</f>
        <v/>
      </c>
      <c r="BE63" s="277">
        <f>S63*K63</f>
        <v/>
      </c>
      <c r="BF63" s="288">
        <f>T63*K63*0.2</f>
        <v/>
      </c>
      <c r="BG63" s="308">
        <f>T63*K63</f>
        <v/>
      </c>
      <c r="BH63" s="308">
        <f>R63*K63*0.2</f>
        <v/>
      </c>
      <c r="BI63" s="308">
        <f>R63*K63</f>
        <v/>
      </c>
      <c r="BJ63" s="308">
        <f>S63*K63*0.2</f>
        <v/>
      </c>
      <c r="BK63" s="308">
        <f>S63*K63</f>
        <v/>
      </c>
      <c r="BL63" s="308">
        <f>T63*K63*0.2</f>
        <v/>
      </c>
      <c r="BM63" s="311">
        <f>T63*K63</f>
        <v/>
      </c>
      <c r="BN63" s="311">
        <f>R63*K63*0.4</f>
        <v/>
      </c>
      <c r="BO63" s="311">
        <f>K63*R63</f>
        <v/>
      </c>
      <c r="BP63" s="311">
        <f>S63*K63*0.4</f>
        <v/>
      </c>
      <c r="BQ63" s="311">
        <f>K63*S63</f>
        <v/>
      </c>
      <c r="BR63" s="311">
        <f>K63*T63*0.4</f>
        <v/>
      </c>
      <c r="BS63" s="270">
        <f>K63*T63</f>
        <v/>
      </c>
      <c r="BT63" s="270">
        <f>R63*K63*0.2</f>
        <v/>
      </c>
      <c r="BU63" s="270">
        <f>R63*K63</f>
        <v/>
      </c>
      <c r="BV63" s="270">
        <f>S63*K63*0.2</f>
        <v/>
      </c>
      <c r="BW63" s="270">
        <f>S63*K63</f>
        <v/>
      </c>
      <c r="BX63" s="270">
        <f>T63*K63*0.2</f>
        <v/>
      </c>
      <c r="BY63" s="270">
        <f>T63*K63</f>
        <v/>
      </c>
      <c r="BZ63" s="274">
        <f>R63*K63*0.33</f>
        <v/>
      </c>
      <c r="CA63" s="274">
        <f>R63*K63</f>
        <v/>
      </c>
      <c r="CB63" s="274">
        <f>S63*K63*0.33</f>
        <v/>
      </c>
      <c r="CC63" s="274">
        <f>S63*K63</f>
        <v/>
      </c>
      <c r="CD63" s="274">
        <f>T63*K63*0.33</f>
        <v/>
      </c>
      <c r="CE63" s="274">
        <f>T63*K63</f>
        <v/>
      </c>
    </row>
    <row r="64" ht="76.5" customFormat="1" customHeight="1" s="277">
      <c r="A64" s="277" t="n">
        <v>61</v>
      </c>
      <c r="B64" s="276" t="inlineStr">
        <is>
          <t>Tedarikçi Coğrafi konumu (300 km)</t>
        </is>
      </c>
      <c r="C64" s="276" t="inlineStr">
        <is>
          <t>Lojistik Risk: Tedarikçilerin yakınlığı, nakliye maliyetini ve lojistik kaynaklı karbon ayak izini doğrudan etkiler.</t>
        </is>
      </c>
      <c r="D64" s="277">
        <f>ESG_FO_Makale!$G$19</f>
        <v/>
      </c>
      <c r="E64" s="277" t="n">
        <v>0.04000000000000001</v>
      </c>
      <c r="F64" s="277">
        <f>D64*E64</f>
        <v/>
      </c>
      <c r="G64" s="277">
        <f>ESG_FO_AnaBlok!$G$19</f>
        <v/>
      </c>
      <c r="H64" s="277">
        <f>G_AltGruplar!$E$15</f>
        <v/>
      </c>
      <c r="I64" s="277">
        <f>G_TedarikRisk!J21</f>
        <v/>
      </c>
      <c r="J64" s="277">
        <f>G64*H64*I64</f>
        <v/>
      </c>
      <c r="K64" s="277">
        <f>H64*I64</f>
        <v/>
      </c>
      <c r="L64" s="277" t="inlineStr">
        <is>
          <t>Yerel tedarik imkanı kısıtlı; lojistik bağımlılığı yüksek.</t>
        </is>
      </c>
      <c r="M64" s="277" t="n">
        <v>2</v>
      </c>
      <c r="N64" s="277" t="inlineStr">
        <is>
          <t>Tedarikçilerin çoğunun bölge dışı merkezlerden seçildiği bildirilmiştir. Bu yapı lojistik mesafeyi ve taşıma kaynaklı emisyonları artırabilir.</t>
        </is>
      </c>
      <c r="O64" s="278" t="n">
        <v>2</v>
      </c>
      <c r="P64" s="277" t="inlineStr">
        <is>
          <t>Konya merkezli tedarikçi ekosistemine yakınlık, lojistik mesafeyi azaltabilecek bir unsur olarak değerlendirilmiştir.</t>
        </is>
      </c>
      <c r="Q64" s="277" t="n">
        <v>4</v>
      </c>
      <c r="R64" s="277">
        <f>100*(M64-1)/4</f>
        <v/>
      </c>
      <c r="S64" s="277">
        <f>100*(O64-1)/4</f>
        <v/>
      </c>
      <c r="T64" s="277">
        <f>100*(Q64-1)/4</f>
        <v/>
      </c>
      <c r="U64" s="277">
        <f>R64*J64</f>
        <v/>
      </c>
      <c r="V64" s="277">
        <f>R64*K64</f>
        <v/>
      </c>
      <c r="W64" s="277">
        <f>S64*$J64</f>
        <v/>
      </c>
      <c r="X64" s="277">
        <f>S64*K64</f>
        <v/>
      </c>
      <c r="Y64" s="277">
        <f>T64*$J64</f>
        <v/>
      </c>
      <c r="Z64" s="277">
        <f>T64*K64</f>
        <v/>
      </c>
      <c r="AA64" s="277">
        <f>R64*F64</f>
        <v/>
      </c>
      <c r="AB64" s="277">
        <f>R64*E64</f>
        <v/>
      </c>
      <c r="AC64" s="277">
        <f>S64*F64</f>
        <v/>
      </c>
      <c r="AD64" s="277">
        <f>S64*E64</f>
        <v/>
      </c>
      <c r="AE64" s="277">
        <f>T64*F64</f>
        <v/>
      </c>
      <c r="AF64" s="277">
        <f>T64*E64</f>
        <v/>
      </c>
      <c r="AG64" s="286">
        <f>R64*0.25*K64</f>
        <v/>
      </c>
      <c r="AH64" s="286">
        <f>K64*R64</f>
        <v/>
      </c>
      <c r="AI64" s="286">
        <f>S64*0.25*$K64</f>
        <v/>
      </c>
      <c r="AJ64" s="286">
        <f>S64*K64</f>
        <v/>
      </c>
      <c r="AK64" s="286">
        <f>T64*0.25*$K64</f>
        <v/>
      </c>
      <c r="AL64" s="286">
        <f>K64*T64</f>
        <v/>
      </c>
      <c r="AM64" s="286">
        <f>1/2</f>
        <v/>
      </c>
      <c r="AN64" s="277">
        <f>R64*I64*AM64*0.25</f>
        <v/>
      </c>
      <c r="AO64" s="277">
        <f>R64*I64*AM64</f>
        <v/>
      </c>
      <c r="AP64" s="277">
        <f>S64*I64*AM64*0.25</f>
        <v/>
      </c>
      <c r="AQ64" s="277">
        <f>S64*I64*AM64</f>
        <v/>
      </c>
      <c r="AR64" s="277">
        <f>T64*I64*AM64*0.25</f>
        <v/>
      </c>
      <c r="AS64" s="277">
        <f>T64*I64*AM64</f>
        <v/>
      </c>
      <c r="AT64" s="277">
        <f>1/7</f>
        <v/>
      </c>
      <c r="AU64" s="277">
        <f>0.5</f>
        <v/>
      </c>
      <c r="AV64" s="277">
        <f>R64*AT64*AU64*0.25</f>
        <v/>
      </c>
      <c r="AW64" s="277">
        <f>R64*AT64*AU64</f>
        <v/>
      </c>
      <c r="AX64" s="277">
        <f>S64*AT64*AU64*0.25</f>
        <v/>
      </c>
      <c r="AY64" s="277">
        <f>S64*AT64*AU64</f>
        <v/>
      </c>
      <c r="AZ64" s="277">
        <f>T64*AT64*AU64*0.25</f>
        <v/>
      </c>
      <c r="BA64" s="277">
        <f>T64*AT64*AU64</f>
        <v/>
      </c>
      <c r="BB64" s="277">
        <f>R64*K64*0.2</f>
        <v/>
      </c>
      <c r="BC64" s="277">
        <f>R64*K64</f>
        <v/>
      </c>
      <c r="BD64" s="274">
        <f>S64*K64*0.2</f>
        <v/>
      </c>
      <c r="BE64" s="277">
        <f>S64*K64</f>
        <v/>
      </c>
      <c r="BF64" s="288">
        <f>T64*K64*0.2</f>
        <v/>
      </c>
      <c r="BG64" s="308">
        <f>T64*K64</f>
        <v/>
      </c>
      <c r="BH64" s="308">
        <f>R64*K64*0.2</f>
        <v/>
      </c>
      <c r="BI64" s="308">
        <f>R64*K64</f>
        <v/>
      </c>
      <c r="BJ64" s="308">
        <f>S64*K64*0.2</f>
        <v/>
      </c>
      <c r="BK64" s="308">
        <f>S64*K64</f>
        <v/>
      </c>
      <c r="BL64" s="308">
        <f>T64*K64*0.2</f>
        <v/>
      </c>
      <c r="BM64" s="311">
        <f>T64*K64</f>
        <v/>
      </c>
      <c r="BN64" s="311">
        <f>R64*K64*0.4</f>
        <v/>
      </c>
      <c r="BO64" s="311">
        <f>K64*R64</f>
        <v/>
      </c>
      <c r="BP64" s="311">
        <f>S64*K64*0.4</f>
        <v/>
      </c>
      <c r="BQ64" s="311">
        <f>K64*S64</f>
        <v/>
      </c>
      <c r="BR64" s="311">
        <f>K64*T64*0.4</f>
        <v/>
      </c>
      <c r="BS64" s="270">
        <f>K64*T64</f>
        <v/>
      </c>
      <c r="BT64" s="270">
        <f>R64*K64*0.2</f>
        <v/>
      </c>
      <c r="BU64" s="270">
        <f>R64*K64</f>
        <v/>
      </c>
      <c r="BV64" s="270">
        <f>S64*K64*0.2</f>
        <v/>
      </c>
      <c r="BW64" s="270">
        <f>S64*K64</f>
        <v/>
      </c>
      <c r="BX64" s="270">
        <f>T64*K64*0.2</f>
        <v/>
      </c>
      <c r="BY64" s="270">
        <f>T64*K64</f>
        <v/>
      </c>
      <c r="BZ64" s="274">
        <f>R64*K64*0.33</f>
        <v/>
      </c>
      <c r="CA64" s="274">
        <f>R64*K64</f>
        <v/>
      </c>
      <c r="CB64" s="274">
        <f>S64*K64*0.33</f>
        <v/>
      </c>
      <c r="CC64" s="274">
        <f>S64*K64</f>
        <v/>
      </c>
      <c r="CD64" s="274">
        <f>T64*K64*0.33</f>
        <v/>
      </c>
      <c r="CE64" s="274">
        <f>T64*K64</f>
        <v/>
      </c>
    </row>
    <row r="65" ht="102" customFormat="1" customHeight="1" s="277">
      <c r="A65" s="277" t="n">
        <v>62</v>
      </c>
      <c r="B65" s="276" t="inlineStr">
        <is>
          <t>Tedarikçi Sürdürülebilirlik Kriterleri</t>
        </is>
      </c>
      <c r="C65" s="276" t="inlineStr">
        <is>
          <t>Sorumlu Satın Alma: TİGEM'in sadece kendi değil, alım yaptığı firmaların da çevresel/sosyal standartlara uymasını beklemesi (ESG olgunluğu).</t>
        </is>
      </c>
      <c r="D65" s="277">
        <f>ESG_FO_Makale!$G$19</f>
        <v/>
      </c>
      <c r="E65" s="277" t="n">
        <v>0.06</v>
      </c>
      <c r="F65" s="277">
        <f>D65*E65</f>
        <v/>
      </c>
      <c r="G65" s="277">
        <f>ESG_FO_AnaBlok!$G$19</f>
        <v/>
      </c>
      <c r="H65" s="277">
        <f>G_AltGruplar!$E$15</f>
        <v/>
      </c>
      <c r="I65" s="277">
        <f>G_TedarikRisk!J22</f>
        <v/>
      </c>
      <c r="J65" s="277">
        <f>G65*H65*I65</f>
        <v/>
      </c>
      <c r="K65" s="277">
        <f>H65*I65</f>
        <v/>
      </c>
      <c r="L65" s="277" t="inlineStr">
        <is>
          <t xml:space="preserve">Tedarikçi seçiminde çevresel, sosyal, etik ve veri güvenliği kriterlerinin kullanıldığına ilişkin kanıt sunulmamıştır. </t>
        </is>
      </c>
      <c r="M65" s="277" t="n">
        <v>2</v>
      </c>
      <c r="N65" s="277" t="inlineStr">
        <is>
          <t xml:space="preserve">Tedarikçi seçiminde çevresel, sosyal, etik ve veri güvenliği kriterlerinin kullanıldığına ilişkin kanıt sunulmamıştır. </t>
        </is>
      </c>
      <c r="O65" s="278" t="n">
        <v>2</v>
      </c>
      <c r="P65" s="277" t="inlineStr">
        <is>
          <t xml:space="preserve">Tedarikçi seçiminde çevresel, sosyal, etik ve veri güvenliği kriterlerinin kullanıldığına ilişkin kanıt sunulmamıştır. </t>
        </is>
      </c>
      <c r="Q65" s="277" t="n">
        <v>2</v>
      </c>
      <c r="R65" s="277">
        <f>100*(M65-1)/4</f>
        <v/>
      </c>
      <c r="S65" s="277">
        <f>100*(O65-1)/4</f>
        <v/>
      </c>
      <c r="T65" s="277">
        <f>100*(Q65-1)/4</f>
        <v/>
      </c>
      <c r="U65" s="277">
        <f>R65*J65</f>
        <v/>
      </c>
      <c r="V65" s="277">
        <f>R65*K65</f>
        <v/>
      </c>
      <c r="W65" s="277">
        <f>S65*$J65</f>
        <v/>
      </c>
      <c r="X65" s="277">
        <f>S65*K65</f>
        <v/>
      </c>
      <c r="Y65" s="277">
        <f>T65*$J65</f>
        <v/>
      </c>
      <c r="Z65" s="277">
        <f>T65*K65</f>
        <v/>
      </c>
      <c r="AA65" s="277">
        <f>R65*F65</f>
        <v/>
      </c>
      <c r="AB65" s="277">
        <f>R65*E65</f>
        <v/>
      </c>
      <c r="AC65" s="277">
        <f>S65*F65</f>
        <v/>
      </c>
      <c r="AD65" s="277">
        <f>S65*E65</f>
        <v/>
      </c>
      <c r="AE65" s="277">
        <f>T65*F65</f>
        <v/>
      </c>
      <c r="AF65" s="277">
        <f>T65*E65</f>
        <v/>
      </c>
      <c r="AG65" s="286">
        <f>R65*0.25*K65</f>
        <v/>
      </c>
      <c r="AH65" s="286">
        <f>K65*R65</f>
        <v/>
      </c>
      <c r="AI65" s="286">
        <f>S65*0.25*$K65</f>
        <v/>
      </c>
      <c r="AJ65" s="286">
        <f>S65*K65</f>
        <v/>
      </c>
      <c r="AK65" s="286">
        <f>T65*0.25*$K65</f>
        <v/>
      </c>
      <c r="AL65" s="286">
        <f>K65*T65</f>
        <v/>
      </c>
      <c r="AM65" s="286">
        <f>1/2</f>
        <v/>
      </c>
      <c r="AN65" s="277">
        <f>R65*I65*AM65*0.25</f>
        <v/>
      </c>
      <c r="AO65" s="277">
        <f>R65*I65*AM65</f>
        <v/>
      </c>
      <c r="AP65" s="277">
        <f>S65*I65*AM65*0.25</f>
        <v/>
      </c>
      <c r="AQ65" s="277">
        <f>S65*I65*AM65</f>
        <v/>
      </c>
      <c r="AR65" s="277">
        <f>T65*I65*AM65*0.25</f>
        <v/>
      </c>
      <c r="AS65" s="277">
        <f>T65*I65*AM65</f>
        <v/>
      </c>
      <c r="AT65" s="277">
        <f>1/7</f>
        <v/>
      </c>
      <c r="AU65" s="277">
        <f>0.5</f>
        <v/>
      </c>
      <c r="AV65" s="277">
        <f>R65*AT65*AU65*0.25</f>
        <v/>
      </c>
      <c r="AW65" s="277">
        <f>R65*AT65*AU65</f>
        <v/>
      </c>
      <c r="AX65" s="277">
        <f>S65*AT65*AU65*0.25</f>
        <v/>
      </c>
      <c r="AY65" s="277">
        <f>S65*AT65*AU65</f>
        <v/>
      </c>
      <c r="AZ65" s="277">
        <f>T65*AT65*AU65*0.25</f>
        <v/>
      </c>
      <c r="BA65" s="277">
        <f>T65*AT65*AU65</f>
        <v/>
      </c>
      <c r="BB65" s="277">
        <f>R65*K65*0.2</f>
        <v/>
      </c>
      <c r="BC65" s="277">
        <f>R65*K65</f>
        <v/>
      </c>
      <c r="BD65" s="274">
        <f>S65*K65*0.2</f>
        <v/>
      </c>
      <c r="BE65" s="277">
        <f>S65*K65</f>
        <v/>
      </c>
      <c r="BF65" s="288">
        <f>T65*K65*0.2</f>
        <v/>
      </c>
      <c r="BG65" s="308">
        <f>T65*K65</f>
        <v/>
      </c>
      <c r="BH65" s="308">
        <f>R65*K65*0.2</f>
        <v/>
      </c>
      <c r="BI65" s="308">
        <f>R65*K65</f>
        <v/>
      </c>
      <c r="BJ65" s="308">
        <f>S65*K65*0.2</f>
        <v/>
      </c>
      <c r="BK65" s="308">
        <f>S65*K65</f>
        <v/>
      </c>
      <c r="BL65" s="308">
        <f>T65*K65*0.2</f>
        <v/>
      </c>
      <c r="BM65" s="311">
        <f>T65*K65</f>
        <v/>
      </c>
      <c r="BN65" s="311">
        <f>R65*K65*0.4</f>
        <v/>
      </c>
      <c r="BO65" s="311">
        <f>K65*R65</f>
        <v/>
      </c>
      <c r="BP65" s="311">
        <f>S65*K65*0.4</f>
        <v/>
      </c>
      <c r="BQ65" s="311">
        <f>K65*S65</f>
        <v/>
      </c>
      <c r="BR65" s="311">
        <f>K65*T65*0.4</f>
        <v/>
      </c>
      <c r="BS65" s="270">
        <f>K65*T65</f>
        <v/>
      </c>
      <c r="BT65" s="270">
        <f>R65*K65*0.2</f>
        <v/>
      </c>
      <c r="BU65" s="270">
        <f>R65*K65</f>
        <v/>
      </c>
      <c r="BV65" s="270">
        <f>S65*K65*0.2</f>
        <v/>
      </c>
      <c r="BW65" s="270">
        <f>S65*K65</f>
        <v/>
      </c>
      <c r="BX65" s="270">
        <f>T65*K65*0.2</f>
        <v/>
      </c>
      <c r="BY65" s="270">
        <f>T65*K65</f>
        <v/>
      </c>
      <c r="BZ65" s="274">
        <f>R65*K65*0.33</f>
        <v/>
      </c>
      <c r="CA65" s="274">
        <f>R65*K65</f>
        <v/>
      </c>
      <c r="CB65" s="274">
        <f>S65*K65*0.33</f>
        <v/>
      </c>
      <c r="CC65" s="274">
        <f>S65*K65</f>
        <v/>
      </c>
      <c r="CD65" s="274">
        <f>T65*K65*0.33</f>
        <v/>
      </c>
      <c r="CE65" s="274">
        <f>T65*K65</f>
        <v/>
      </c>
    </row>
    <row r="66" ht="90" customFormat="1" customHeight="1" s="277">
      <c r="A66" s="277" t="n">
        <v>63</v>
      </c>
      <c r="B66" s="276" t="inlineStr">
        <is>
          <t>Paydaş Etki Ölçümü</t>
        </is>
      </c>
      <c r="C66" s="276" t="inlineStr">
        <is>
          <t>Dışsal Risk: İşletme faaliyetlerinin tedarikçiler ve yerel halk üzerindeki etkisinin düzenli olarak ölçülmesidir.</t>
        </is>
      </c>
      <c r="D66" s="277">
        <f>ESG_FO_Makale!$G$19</f>
        <v/>
      </c>
      <c r="E66" s="277" t="n">
        <v>0.04000000000000001</v>
      </c>
      <c r="F66" s="277">
        <f>D66*E66</f>
        <v/>
      </c>
      <c r="G66" s="277">
        <f>ESG_FO_AnaBlok!$G$19</f>
        <v/>
      </c>
      <c r="H66" s="277">
        <f>G_AltGruplar!$E$15</f>
        <v/>
      </c>
      <c r="I66" s="277">
        <f>G_TedarikRisk!J23</f>
        <v/>
      </c>
      <c r="J66" s="277">
        <f>G66*H66*I66</f>
        <v/>
      </c>
      <c r="K66" s="277">
        <f>H66*I66</f>
        <v/>
      </c>
      <c r="L66" s="277" t="inlineStr">
        <is>
          <t xml:space="preserve">İşletme faaliyetlerinin çalışanlar, tedarikçiler, yerel halk ve diğer paydaşlar üzerindeki etkisini düzenli ölçen bir sistem gösterilmemiştir. </t>
        </is>
      </c>
      <c r="M66" s="277" t="n">
        <v>2</v>
      </c>
      <c r="N66" s="277" t="inlineStr">
        <is>
          <t xml:space="preserve">İşletme faaliyetlerinin çalışanlar, tedarikçiler, yerel halk ve diğer paydaşlar üzerindeki etkisini düzenli ölçen bir sistem gösterilmemiştir. </t>
        </is>
      </c>
      <c r="O66" s="278" t="n">
        <v>2</v>
      </c>
      <c r="P66" s="277" t="inlineStr">
        <is>
          <t xml:space="preserve">İşletme faaliyetlerinin çalışanlar, tedarikçiler, yerel halk ve diğer paydaşlar üzerindeki etkisini düzenli ölçen bir sistem gösterilmemiştir. </t>
        </is>
      </c>
      <c r="Q66" s="277" t="n">
        <v>2</v>
      </c>
      <c r="R66" s="277">
        <f>100*(M66-1)/4</f>
        <v/>
      </c>
      <c r="S66" s="277">
        <f>100*(O66-1)/4</f>
        <v/>
      </c>
      <c r="T66" s="277">
        <f>100*(Q66-1)/4</f>
        <v/>
      </c>
      <c r="U66" s="277">
        <f>R66*J66</f>
        <v/>
      </c>
      <c r="V66" s="277">
        <f>R66*K66</f>
        <v/>
      </c>
      <c r="W66" s="277">
        <f>S66*$J66</f>
        <v/>
      </c>
      <c r="X66" s="277">
        <f>S66*K66</f>
        <v/>
      </c>
      <c r="Y66" s="277">
        <f>T66*$J66</f>
        <v/>
      </c>
      <c r="Z66" s="277">
        <f>T66*K66</f>
        <v/>
      </c>
      <c r="AA66" s="277">
        <f>R66*F66</f>
        <v/>
      </c>
      <c r="AB66" s="277">
        <f>R66*E66</f>
        <v/>
      </c>
      <c r="AC66" s="277">
        <f>S66*F66</f>
        <v/>
      </c>
      <c r="AD66" s="277">
        <f>S66*E66</f>
        <v/>
      </c>
      <c r="AE66" s="277">
        <f>T66*F66</f>
        <v/>
      </c>
      <c r="AF66" s="277">
        <f>T66*E66</f>
        <v/>
      </c>
      <c r="AG66" s="286">
        <f>R66*0.25*K66</f>
        <v/>
      </c>
      <c r="AH66" s="286">
        <f>K66*R66</f>
        <v/>
      </c>
      <c r="AI66" s="286">
        <f>S66*0.25*$K66</f>
        <v/>
      </c>
      <c r="AJ66" s="286">
        <f>S66*K66</f>
        <v/>
      </c>
      <c r="AK66" s="286">
        <f>T66*0.25*$K66</f>
        <v/>
      </c>
      <c r="AL66" s="286">
        <f>K66*T66</f>
        <v/>
      </c>
      <c r="AM66" s="286">
        <f>1/2</f>
        <v/>
      </c>
      <c r="AN66" s="277">
        <f>R66*I66*AM66*0.25</f>
        <v/>
      </c>
      <c r="AO66" s="277">
        <f>R66*I66*AM66</f>
        <v/>
      </c>
      <c r="AP66" s="277">
        <f>S66*I66*AM66*0.25</f>
        <v/>
      </c>
      <c r="AQ66" s="277">
        <f>S66*I66*AM66</f>
        <v/>
      </c>
      <c r="AR66" s="277">
        <f>T66*I66*AM66*0.25</f>
        <v/>
      </c>
      <c r="AS66" s="277">
        <f>T66*I66*AM66</f>
        <v/>
      </c>
      <c r="AT66" s="277">
        <f>1/7</f>
        <v/>
      </c>
      <c r="AU66" s="277">
        <f>0.5</f>
        <v/>
      </c>
      <c r="AV66" s="277">
        <f>R66*AT66*AU66*0.25</f>
        <v/>
      </c>
      <c r="AW66" s="277">
        <f>R66*AT66*AU66</f>
        <v/>
      </c>
      <c r="AX66" s="277">
        <f>S66*AT66*AU66*0.25</f>
        <v/>
      </c>
      <c r="AY66" s="277">
        <f>S66*AT66*AU66</f>
        <v/>
      </c>
      <c r="AZ66" s="277">
        <f>T66*AT66*AU66*0.25</f>
        <v/>
      </c>
      <c r="BA66" s="277">
        <f>T66*AT66*AU66</f>
        <v/>
      </c>
      <c r="BB66" s="277">
        <f>R66*K66*0.2</f>
        <v/>
      </c>
      <c r="BC66" s="277">
        <f>R66*K66</f>
        <v/>
      </c>
      <c r="BD66" s="274">
        <f>S66*K66*0.2</f>
        <v/>
      </c>
      <c r="BE66" s="277">
        <f>S66*K66</f>
        <v/>
      </c>
      <c r="BF66" s="288">
        <f>T66*K66*0.2</f>
        <v/>
      </c>
      <c r="BG66" s="308">
        <f>T66*K66</f>
        <v/>
      </c>
      <c r="BH66" s="308">
        <f>R66*K66*0.2</f>
        <v/>
      </c>
      <c r="BI66" s="308">
        <f>R66*K66</f>
        <v/>
      </c>
      <c r="BJ66" s="308">
        <f>S66*K66*0.2</f>
        <v/>
      </c>
      <c r="BK66" s="308">
        <f>S66*K66</f>
        <v/>
      </c>
      <c r="BL66" s="308">
        <f>T66*K66*0.2</f>
        <v/>
      </c>
      <c r="BM66" s="311">
        <f>T66*K66</f>
        <v/>
      </c>
      <c r="BN66" s="311">
        <f>R66*K66*0.4</f>
        <v/>
      </c>
      <c r="BO66" s="311">
        <f>K66*R66</f>
        <v/>
      </c>
      <c r="BP66" s="311">
        <f>S66*K66*0.4</f>
        <v/>
      </c>
      <c r="BQ66" s="311">
        <f>K66*S66</f>
        <v/>
      </c>
      <c r="BR66" s="311">
        <f>K66*T66*0.4</f>
        <v/>
      </c>
      <c r="BS66" s="270">
        <f>K66*T66</f>
        <v/>
      </c>
      <c r="BT66" s="270">
        <f>R66*K66*0.2</f>
        <v/>
      </c>
      <c r="BU66" s="270">
        <f>R66*K66</f>
        <v/>
      </c>
      <c r="BV66" s="270">
        <f>S66*K66*0.2</f>
        <v/>
      </c>
      <c r="BW66" s="270">
        <f>S66*K66</f>
        <v/>
      </c>
      <c r="BX66" s="270">
        <f>T66*K66*0.2</f>
        <v/>
      </c>
      <c r="BY66" s="270">
        <f>T66*K66</f>
        <v/>
      </c>
      <c r="BZ66" s="274">
        <f>R66*K66*0.33</f>
        <v/>
      </c>
      <c r="CA66" s="274">
        <f>R66*K66</f>
        <v/>
      </c>
      <c r="CB66" s="274">
        <f>S66*K66*0.33</f>
        <v/>
      </c>
      <c r="CC66" s="274">
        <f>S66*K66</f>
        <v/>
      </c>
      <c r="CD66" s="274">
        <f>T66*K66*0.33</f>
        <v/>
      </c>
      <c r="CE66" s="274">
        <f>T66*K66</f>
        <v/>
      </c>
    </row>
    <row r="67" ht="90" customFormat="1" customHeight="1" s="277">
      <c r="A67" s="277" t="n">
        <v>64</v>
      </c>
      <c r="B67" s="276" t="inlineStr">
        <is>
          <t>Veri Güvenliği ve Gizlilik</t>
        </is>
      </c>
      <c r="C67" s="276" t="inlineStr">
        <is>
          <t>Bilgi Güvenliği: Stratejik tarım verilerinin (gen kaynakları, verim projeksiyonları vb.) korunması ve siber risk yönetimidir.</t>
        </is>
      </c>
      <c r="D67" s="277">
        <f>ESG_FO_Makale!$G$19</f>
        <v/>
      </c>
      <c r="E67" s="277" t="n">
        <v>0.06</v>
      </c>
      <c r="F67" s="277">
        <f>D67*E67</f>
        <v/>
      </c>
      <c r="G67" s="277">
        <f>ESG_FO_AnaBlok!$G$19</f>
        <v/>
      </c>
      <c r="H67" s="277">
        <f>G_AltGruplar!$E$15</f>
        <v/>
      </c>
      <c r="I67" s="277">
        <f>G_TedarikRisk!J24</f>
        <v/>
      </c>
      <c r="J67" s="277">
        <f>G67*H67*I67</f>
        <v/>
      </c>
      <c r="K67" s="277">
        <f>H67*I67</f>
        <v/>
      </c>
      <c r="L67" s="277" t="inlineStr">
        <is>
          <t>İşletmede Kurum bünyesinde oluşturulmuş bilgi güvenliği politikaları doğrultusunda parolalı erişim ve veri yedekleme yapılmaktadır.</t>
        </is>
      </c>
      <c r="M67" s="277" t="n">
        <v>4</v>
      </c>
      <c r="N67" s="277" t="inlineStr">
        <is>
          <t>İşletmede Kurum bünyesinde oluşturulmuş bilgi güvenliği politikaları doğrultusunda parolalı erişim ve veri yedekleme yapılmaktadır.</t>
        </is>
      </c>
      <c r="O67" s="278" t="n">
        <v>4</v>
      </c>
      <c r="P67" s="277" t="inlineStr">
        <is>
          <t>İşletmede Kurum bünyesinde oluşturulmuş bilgi güvenliği politikaları doğrultusunda parolalı erişim ve veri yedekleme yapılmaktadır.</t>
        </is>
      </c>
      <c r="Q67" s="277" t="n">
        <v>4</v>
      </c>
      <c r="R67" s="277">
        <f>100*(M67-1)/4</f>
        <v/>
      </c>
      <c r="S67" s="277">
        <f>100*(O67-1)/4</f>
        <v/>
      </c>
      <c r="T67" s="277">
        <f>100*(Q67-1)/4</f>
        <v/>
      </c>
      <c r="U67" s="277">
        <f>R67*J67</f>
        <v/>
      </c>
      <c r="V67" s="277">
        <f>R67*K67</f>
        <v/>
      </c>
      <c r="W67" s="277">
        <f>S67*$J67</f>
        <v/>
      </c>
      <c r="X67" s="277">
        <f>S67*K67</f>
        <v/>
      </c>
      <c r="Y67" s="277">
        <f>T67*$J67</f>
        <v/>
      </c>
      <c r="Z67" s="277">
        <f>T67*K67</f>
        <v/>
      </c>
      <c r="AA67" s="277">
        <f>R67*F67</f>
        <v/>
      </c>
      <c r="AB67" s="277">
        <f>R67*E67</f>
        <v/>
      </c>
      <c r="AC67" s="277">
        <f>S67*F67</f>
        <v/>
      </c>
      <c r="AD67" s="277">
        <f>S67*E67</f>
        <v/>
      </c>
      <c r="AE67" s="277">
        <f>T67*F67</f>
        <v/>
      </c>
      <c r="AF67" s="277">
        <f>T67*E67</f>
        <v/>
      </c>
      <c r="AG67" s="286">
        <f>R67*0.25*K67</f>
        <v/>
      </c>
      <c r="AH67" s="286">
        <f>K67*R67</f>
        <v/>
      </c>
      <c r="AI67" s="286">
        <f>S67*0.25*$K67</f>
        <v/>
      </c>
      <c r="AJ67" s="286">
        <f>S67*K67</f>
        <v/>
      </c>
      <c r="AK67" s="286">
        <f>T67*0.25*$K67</f>
        <v/>
      </c>
      <c r="AL67" s="286">
        <f>K67*T67</f>
        <v/>
      </c>
      <c r="AM67" s="286">
        <f>1/2</f>
        <v/>
      </c>
      <c r="AN67" s="277">
        <f>R67*I67*AM67*0.25</f>
        <v/>
      </c>
      <c r="AO67" s="277">
        <f>R67*I67*AM67</f>
        <v/>
      </c>
      <c r="AP67" s="277">
        <f>S67*I67*AM67*0.25</f>
        <v/>
      </c>
      <c r="AQ67" s="277">
        <f>S67*I67*AM67</f>
        <v/>
      </c>
      <c r="AR67" s="277">
        <f>T67*I67*AM67*0.25</f>
        <v/>
      </c>
      <c r="AS67" s="277">
        <f>T67*I67*AM67</f>
        <v/>
      </c>
      <c r="AT67" s="277">
        <f>1/7</f>
        <v/>
      </c>
      <c r="AU67" s="277">
        <f>0.5</f>
        <v/>
      </c>
      <c r="AV67" s="277">
        <f>R67*AT67*AU67*0.25</f>
        <v/>
      </c>
      <c r="AW67" s="277">
        <f>R67*AT67*AU67</f>
        <v/>
      </c>
      <c r="AX67" s="277">
        <f>S67*AT67*AU67*0.25</f>
        <v/>
      </c>
      <c r="AY67" s="277">
        <f>S67*AT67*AU67</f>
        <v/>
      </c>
      <c r="AZ67" s="277">
        <f>T67*AT67*AU67*0.25</f>
        <v/>
      </c>
      <c r="BA67" s="277">
        <f>T67*AT67*AU67</f>
        <v/>
      </c>
      <c r="BB67" s="277">
        <f>R67*K67*0.2</f>
        <v/>
      </c>
      <c r="BC67" s="277">
        <f>R67*K67</f>
        <v/>
      </c>
      <c r="BD67" s="274">
        <f>S67*K67*0.2</f>
        <v/>
      </c>
      <c r="BE67" s="277">
        <f>S67*K67</f>
        <v/>
      </c>
      <c r="BF67" s="288">
        <f>T67*K67*0.2</f>
        <v/>
      </c>
      <c r="BG67" s="308">
        <f>T67*K67</f>
        <v/>
      </c>
      <c r="BH67" s="308">
        <f>R67*K67*0.2</f>
        <v/>
      </c>
      <c r="BI67" s="308">
        <f>R67*K67</f>
        <v/>
      </c>
      <c r="BJ67" s="308">
        <f>S67*K67*0.2</f>
        <v/>
      </c>
      <c r="BK67" s="308">
        <f>S67*K67</f>
        <v/>
      </c>
      <c r="BL67" s="308">
        <f>T67*K67*0.2</f>
        <v/>
      </c>
      <c r="BM67" s="311">
        <f>T67*K67</f>
        <v/>
      </c>
      <c r="BN67" s="311">
        <f>R67*K67*0.4</f>
        <v/>
      </c>
      <c r="BO67" s="311">
        <f>K67*R67</f>
        <v/>
      </c>
      <c r="BP67" s="311">
        <f>S67*K67*0.4</f>
        <v/>
      </c>
      <c r="BQ67" s="311">
        <f>K67*S67</f>
        <v/>
      </c>
      <c r="BR67" s="311">
        <f>K67*T67*0.4</f>
        <v/>
      </c>
      <c r="BS67" s="270">
        <f>K67*T67</f>
        <v/>
      </c>
      <c r="BT67" s="270">
        <f>R67*K67*0.2</f>
        <v/>
      </c>
      <c r="BU67" s="270">
        <f>R67*K67</f>
        <v/>
      </c>
      <c r="BV67" s="270">
        <f>S67*K67*0.2</f>
        <v/>
      </c>
      <c r="BW67" s="270">
        <f>S67*K67</f>
        <v/>
      </c>
      <c r="BX67" s="270">
        <f>T67*K67*0.2</f>
        <v/>
      </c>
      <c r="BY67" s="270">
        <f>T67*K67</f>
        <v/>
      </c>
      <c r="BZ67" s="274">
        <f>R67*K67*0.33</f>
        <v/>
      </c>
      <c r="CA67" s="274">
        <f>R67*K67</f>
        <v/>
      </c>
      <c r="CB67" s="274">
        <f>S67*K67*0.33</f>
        <v/>
      </c>
      <c r="CC67" s="274">
        <f>S67*K67</f>
        <v/>
      </c>
      <c r="CD67" s="274">
        <f>T67*K67*0.33</f>
        <v/>
      </c>
      <c r="CE67" s="274">
        <f>T67*K67</f>
        <v/>
      </c>
    </row>
    <row r="68" ht="89.25" customFormat="1" customHeight="1" s="277">
      <c r="A68" s="277" t="n">
        <v>65</v>
      </c>
      <c r="B68" s="276" t="inlineStr">
        <is>
          <t>Kurumsal Risk Yönetimi</t>
        </is>
      </c>
      <c r="C68" s="276" t="inlineStr">
        <is>
          <t>Stratejik Şemsiye: İklim değişikliği, kur farkı ve arz güvenliği gibi risklerin kurum düzeyinde nasıl tanımlandığı ve yönetildiğidir.</t>
        </is>
      </c>
      <c r="D68" s="277">
        <f>ESG_FO_Makale!$G$19</f>
        <v/>
      </c>
      <c r="E68" s="277" t="n">
        <v>0.08000000000000002</v>
      </c>
      <c r="F68" s="277">
        <f>D68*E68</f>
        <v/>
      </c>
      <c r="G68" s="277">
        <f>ESG_FO_AnaBlok!$G$19</f>
        <v/>
      </c>
      <c r="H68" s="277">
        <f>G_AltGruplar!$E$15</f>
        <v/>
      </c>
      <c r="I68" s="277">
        <f>G_TedarikRisk!J25</f>
        <v/>
      </c>
      <c r="J68" s="277">
        <f>G68*H68*I68</f>
        <v/>
      </c>
      <c r="K68" s="277">
        <f>H68*I68</f>
        <v/>
      </c>
      <c r="L68" s="277" t="inlineStr">
        <is>
          <t>Kurumsal Risk Yönetimi uygulamaları Kurum genelinde henüz başlangıç düzeyindedir.</t>
        </is>
      </c>
      <c r="M68" s="277" t="n">
        <v>2</v>
      </c>
      <c r="N68" s="277" t="inlineStr">
        <is>
          <t>Kurumsal Risk Yönetimi uygulamaları Kurum genelinde henüz başlangıç düzeyindedir.</t>
        </is>
      </c>
      <c r="O68" s="278" t="n">
        <v>2</v>
      </c>
      <c r="P68" s="277" t="inlineStr">
        <is>
          <t>Kurumsal Risk Yönetimi uygulamaları Kurum genelinde henüz başlangıç düzeyindedir.</t>
        </is>
      </c>
      <c r="Q68" s="277" t="n">
        <v>2</v>
      </c>
      <c r="R68" s="277">
        <f>100*(M68-1)/4</f>
        <v/>
      </c>
      <c r="S68" s="277">
        <f>100*(O68-1)/4</f>
        <v/>
      </c>
      <c r="T68" s="277">
        <f>100*(Q68-1)/4</f>
        <v/>
      </c>
      <c r="U68" s="277">
        <f>R68*J68</f>
        <v/>
      </c>
      <c r="V68" s="277">
        <f>R68*K68</f>
        <v/>
      </c>
      <c r="W68" s="277">
        <f>S68*$J68</f>
        <v/>
      </c>
      <c r="X68" s="277">
        <f>S68*K68</f>
        <v/>
      </c>
      <c r="Y68" s="277">
        <f>T68*$J68</f>
        <v/>
      </c>
      <c r="Z68" s="277">
        <f>T68*K68</f>
        <v/>
      </c>
      <c r="AA68" s="277">
        <f>R68*F68</f>
        <v/>
      </c>
      <c r="AB68" s="277">
        <f>R68*E68</f>
        <v/>
      </c>
      <c r="AC68" s="277">
        <f>S68*F68</f>
        <v/>
      </c>
      <c r="AD68" s="277">
        <f>S68*E68</f>
        <v/>
      </c>
      <c r="AE68" s="277">
        <f>T68*F68</f>
        <v/>
      </c>
      <c r="AF68" s="277">
        <f>T68*E68</f>
        <v/>
      </c>
      <c r="AG68" s="286">
        <f>R68*0.25*K68</f>
        <v/>
      </c>
      <c r="AH68" s="286">
        <f>K68*R68</f>
        <v/>
      </c>
      <c r="AI68" s="286">
        <f>S68*0.25*$K68</f>
        <v/>
      </c>
      <c r="AJ68" s="286">
        <f>S68*K68</f>
        <v/>
      </c>
      <c r="AK68" s="286">
        <f>T68*0.25*$K68</f>
        <v/>
      </c>
      <c r="AL68" s="286">
        <f>K68*T68</f>
        <v/>
      </c>
      <c r="AM68" s="286">
        <f>1/2</f>
        <v/>
      </c>
      <c r="AN68" s="277">
        <f>R68*I68*AM68*0.25</f>
        <v/>
      </c>
      <c r="AO68" s="277">
        <f>R68*I68*AM68</f>
        <v/>
      </c>
      <c r="AP68" s="277">
        <f>S68*I68*AM68*0.25</f>
        <v/>
      </c>
      <c r="AQ68" s="277">
        <f>S68*I68*AM68</f>
        <v/>
      </c>
      <c r="AR68" s="277">
        <f>T68*I68*AM68*0.25</f>
        <v/>
      </c>
      <c r="AS68" s="277">
        <f>T68*I68*AM68</f>
        <v/>
      </c>
      <c r="AT68" s="277">
        <f>1/7</f>
        <v/>
      </c>
      <c r="AU68" s="277">
        <f>0.5</f>
        <v/>
      </c>
      <c r="AV68" s="277">
        <f>R68*AT68*AU68*0.25</f>
        <v/>
      </c>
      <c r="AW68" s="277">
        <f>R68*AT68*AU68</f>
        <v/>
      </c>
      <c r="AX68" s="277">
        <f>S68*AT68*AU68*0.25</f>
        <v/>
      </c>
      <c r="AY68" s="277">
        <f>S68*AT68*AU68</f>
        <v/>
      </c>
      <c r="AZ68" s="277">
        <f>T68*AT68*AU68*0.25</f>
        <v/>
      </c>
      <c r="BA68" s="277">
        <f>T68*AT68*AU68</f>
        <v/>
      </c>
      <c r="BB68" s="277">
        <f>R68*K68*0.2</f>
        <v/>
      </c>
      <c r="BC68" s="277">
        <f>R68*K68</f>
        <v/>
      </c>
      <c r="BD68" s="274">
        <f>S68*K68*0.2</f>
        <v/>
      </c>
      <c r="BE68" s="277">
        <f>S68*K68</f>
        <v/>
      </c>
      <c r="BF68" s="288">
        <f>T68*K68*0.2</f>
        <v/>
      </c>
      <c r="BG68" s="308">
        <f>T68*K68</f>
        <v/>
      </c>
      <c r="BH68" s="308">
        <f>R68*K68*0.2</f>
        <v/>
      </c>
      <c r="BI68" s="308">
        <f>R68*K68</f>
        <v/>
      </c>
      <c r="BJ68" s="308">
        <f>S68*K68*0.2</f>
        <v/>
      </c>
      <c r="BK68" s="308">
        <f>S68*K68</f>
        <v/>
      </c>
      <c r="BL68" s="308">
        <f>T68*K68*0.2</f>
        <v/>
      </c>
      <c r="BM68" s="311">
        <f>T68*K68</f>
        <v/>
      </c>
      <c r="BN68" s="311">
        <f>R68*K68*0.4</f>
        <v/>
      </c>
      <c r="BO68" s="311">
        <f>K68*R68</f>
        <v/>
      </c>
      <c r="BP68" s="311">
        <f>S68*K68*0.4</f>
        <v/>
      </c>
      <c r="BQ68" s="311">
        <f>K68*S68</f>
        <v/>
      </c>
      <c r="BR68" s="311">
        <f>K68*T68*0.4</f>
        <v/>
      </c>
      <c r="BS68" s="270">
        <f>K68*T68</f>
        <v/>
      </c>
      <c r="BT68" s="270">
        <f>R68*K68*0.2</f>
        <v/>
      </c>
      <c r="BU68" s="270">
        <f>R68*K68</f>
        <v/>
      </c>
      <c r="BV68" s="270">
        <f>S68*K68*0.2</f>
        <v/>
      </c>
      <c r="BW68" s="270">
        <f>S68*K68</f>
        <v/>
      </c>
      <c r="BX68" s="270">
        <f>T68*K68*0.2</f>
        <v/>
      </c>
      <c r="BY68" s="270">
        <f>T68*K68</f>
        <v/>
      </c>
      <c r="BZ68" s="274">
        <f>R68*K68*0.33</f>
        <v/>
      </c>
      <c r="CA68" s="274">
        <f>R68*K68</f>
        <v/>
      </c>
      <c r="CB68" s="274">
        <f>S68*K68*0.33</f>
        <v/>
      </c>
      <c r="CC68" s="274">
        <f>S68*K68</f>
        <v/>
      </c>
      <c r="CD68" s="274">
        <f>T68*K68*0.33</f>
        <v/>
      </c>
      <c r="CE68" s="274">
        <f>T68*K68</f>
        <v/>
      </c>
    </row>
    <row r="69" ht="76.5" customHeight="1" s="452">
      <c r="A69" s="444" t="n">
        <v>66</v>
      </c>
      <c r="B69" s="279" t="inlineStr">
        <is>
          <t>Birim Alan Verimi</t>
        </is>
      </c>
      <c r="C69" s="279" t="inlineStr">
        <is>
          <t>Arazi Verimliliği: Toprak varlığının finansal değere dönüşme oranı. Operasyonel başarının finansal tablolardaki karşılığıdır.</t>
        </is>
      </c>
      <c r="D69" s="444">
        <f>ESG_FO_Makale!$G$20</f>
        <v/>
      </c>
      <c r="E69" s="444" t="n">
        <v>0.03</v>
      </c>
      <c r="F69" s="444">
        <f>D69*E69</f>
        <v/>
      </c>
      <c r="G69" s="444">
        <f>ESG_FO_AnaBlok!$G$20</f>
        <v/>
      </c>
      <c r="H69" s="444">
        <f>FO_AltGruplar!$G$16</f>
        <v/>
      </c>
      <c r="I69" s="444">
        <f>FO_Finansal!I18</f>
        <v/>
      </c>
      <c r="J69" s="444">
        <f>G69*H69*I69</f>
        <v/>
      </c>
      <c r="K69" s="444">
        <f>H69*I69</f>
        <v/>
      </c>
      <c r="L69" s="274" t="inlineStr">
        <is>
          <t>İklimsel risklere rağmen yüksek teknolojiyle stabilize verim hedefleri gerçekleştirilmektedir.</t>
        </is>
      </c>
      <c r="M69" s="444" t="n">
        <v>4</v>
      </c>
      <c r="N69" s="287" t="inlineStr">
        <is>
          <t xml:space="preserve">Verim raporunda 476 kg/da değeri bulunduğu bildirilmiştir. </t>
        </is>
      </c>
      <c r="O69" s="281" t="n">
        <v>5</v>
      </c>
      <c r="P69" s="274" t="inlineStr">
        <is>
          <t>Bölgesel kuraklığa rağmen sulama ile korunan yüksek verim.</t>
        </is>
      </c>
      <c r="Q69" s="444" t="n">
        <v>4</v>
      </c>
      <c r="R69" s="444">
        <f>100*(M69-1)/4</f>
        <v/>
      </c>
      <c r="S69" s="444">
        <f>100*(O69-1)/4</f>
        <v/>
      </c>
      <c r="T69" s="444">
        <f>100*(Q69-1)/4</f>
        <v/>
      </c>
      <c r="U69" s="444">
        <f>R69*J69</f>
        <v/>
      </c>
      <c r="V69" s="444">
        <f>R69*K69</f>
        <v/>
      </c>
      <c r="W69" s="444">
        <f>S69*$J69</f>
        <v/>
      </c>
      <c r="X69" s="270">
        <f>S69*K69</f>
        <v/>
      </c>
      <c r="Y69" s="444">
        <f>T69*$J69</f>
        <v/>
      </c>
      <c r="Z69" s="270">
        <f>T69*K69</f>
        <v/>
      </c>
      <c r="AA69" s="444">
        <f>R69*F69</f>
        <v/>
      </c>
      <c r="AB69" s="270">
        <f>R69*E69</f>
        <v/>
      </c>
      <c r="AC69" s="444">
        <f>S69*F69</f>
        <v/>
      </c>
      <c r="AD69" s="270">
        <f>S69*E69</f>
        <v/>
      </c>
      <c r="AE69" s="444">
        <f>T69*F69</f>
        <v/>
      </c>
      <c r="AF69" s="270">
        <f>T69*E69</f>
        <v/>
      </c>
      <c r="AG69" s="443">
        <f>R69*0.25*K69</f>
        <v/>
      </c>
      <c r="AH69" s="283">
        <f>K69*R69</f>
        <v/>
      </c>
      <c r="AI69" s="443">
        <f>S69*0.25*$K69</f>
        <v/>
      </c>
      <c r="AJ69" s="443">
        <f>S69*K69</f>
        <v/>
      </c>
      <c r="AK69" s="443">
        <f>T69*0.25*$K69</f>
        <v/>
      </c>
      <c r="AL69" s="443">
        <f>K69*T69</f>
        <v/>
      </c>
      <c r="AM69" s="443">
        <f>0.25</f>
        <v/>
      </c>
      <c r="AN69" s="288">
        <f>R69*I69*AM69*0.25</f>
        <v/>
      </c>
      <c r="AO69" s="288">
        <f>R69*I69*AM69</f>
        <v/>
      </c>
      <c r="AP69" s="288">
        <f>S69*I69*AM69*0.25</f>
        <v/>
      </c>
      <c r="AQ69" s="288">
        <f>S69*I69*AM69</f>
        <v/>
      </c>
      <c r="AR69" s="288">
        <f>T69*I69*AM69*0.25</f>
        <v/>
      </c>
      <c r="AS69" s="288">
        <f>T69*I69*AM69</f>
        <v/>
      </c>
      <c r="AT69" s="444">
        <f>1/6</f>
        <v/>
      </c>
      <c r="AU69" s="444">
        <f>0.25</f>
        <v/>
      </c>
      <c r="AV69" s="288">
        <f>R69*AT69*AU69*0.25</f>
        <v/>
      </c>
      <c r="AW69" s="288">
        <f>R69*AT69*AU69</f>
        <v/>
      </c>
      <c r="AX69" s="288">
        <f>S69*AT69*AU69*0.25</f>
        <v/>
      </c>
      <c r="AY69" s="288">
        <f>S69*AT69*AU69</f>
        <v/>
      </c>
      <c r="AZ69" s="288">
        <f>T69*AT69*AU69*0.25</f>
        <v/>
      </c>
      <c r="BA69" s="288">
        <f>T69*AT69*AU69</f>
        <v/>
      </c>
      <c r="BB69" s="288">
        <f>R69*K69*0.2</f>
        <v/>
      </c>
      <c r="BC69" s="288">
        <f>R69*K69</f>
        <v/>
      </c>
      <c r="BD69" s="274">
        <f>S69*K69*0.2</f>
        <v/>
      </c>
      <c r="BE69" s="288">
        <f>S69*K69</f>
        <v/>
      </c>
      <c r="BF69" s="288">
        <f>T69*K69*0.2</f>
        <v/>
      </c>
      <c r="BG69" s="308">
        <f>T69*K69</f>
        <v/>
      </c>
      <c r="BH69" s="308">
        <f>R69*K69*0.2</f>
        <v/>
      </c>
      <c r="BI69" s="308">
        <f>R69*K69</f>
        <v/>
      </c>
      <c r="BJ69" s="308">
        <f>S69*K69*0.2</f>
        <v/>
      </c>
      <c r="BK69" s="308">
        <f>S69*K69</f>
        <v/>
      </c>
      <c r="BL69" s="308">
        <f>T69*K69*0.2</f>
        <v/>
      </c>
      <c r="BM69" s="311">
        <f>T69*K69</f>
        <v/>
      </c>
      <c r="BN69" s="311">
        <f>R69*K69*0.2</f>
        <v/>
      </c>
      <c r="BO69" s="311">
        <f>K69*R69</f>
        <v/>
      </c>
      <c r="BP69" s="311">
        <f>S69*K69*0.2</f>
        <v/>
      </c>
      <c r="BQ69" s="311">
        <f>K69*S69</f>
        <v/>
      </c>
      <c r="BR69" s="311">
        <f>K69*T69*0.2</f>
        <v/>
      </c>
      <c r="BS69" s="270">
        <f>K69*T69</f>
        <v/>
      </c>
      <c r="BT69" s="444">
        <f>R69*K69*0.4</f>
        <v/>
      </c>
      <c r="BU69" s="444">
        <f>R69*K69</f>
        <v/>
      </c>
      <c r="BV69" s="444">
        <f>S69*K69*0.4</f>
        <v/>
      </c>
      <c r="BW69" s="444">
        <f>S69*K69</f>
        <v/>
      </c>
      <c r="BX69" s="444">
        <f>T69*K69*0.4</f>
        <v/>
      </c>
      <c r="BY69" s="270">
        <f>T69*K69</f>
        <v/>
      </c>
      <c r="BZ69" s="288">
        <f>R69*K69*0</f>
        <v/>
      </c>
      <c r="CA69" s="288">
        <f>R69*K69</f>
        <v/>
      </c>
      <c r="CB69" s="288">
        <f>S69*K69*0</f>
        <v/>
      </c>
      <c r="CC69" s="288">
        <f>S69*K69</f>
        <v/>
      </c>
      <c r="CD69" s="288">
        <f>T69*K69*0</f>
        <v/>
      </c>
      <c r="CE69" s="288">
        <f>T69*K69</f>
        <v/>
      </c>
    </row>
    <row r="70" ht="135" customHeight="1" s="452">
      <c r="A70" s="444" t="n">
        <v>67</v>
      </c>
      <c r="B70" s="279" t="inlineStr">
        <is>
          <t>Hayvansal Verimlilik</t>
        </is>
      </c>
      <c r="C70" s="279" t="inlineStr">
        <is>
          <t>Varlık Performansı: Hayvancılık yatırımlarının geri dönüş hızı. Bitkisel üretime göre daha spesifik bir alan olduğu için payı dengelenmiştir.</t>
        </is>
      </c>
      <c r="D70" s="444">
        <f>ESG_FO_Makale!$G$20</f>
        <v/>
      </c>
      <c r="E70" s="444" t="n">
        <v>0.02</v>
      </c>
      <c r="F70" s="444">
        <f>D70*E70</f>
        <v/>
      </c>
      <c r="G70" s="444">
        <f>ESG_FO_AnaBlok!$G$20</f>
        <v/>
      </c>
      <c r="H70" s="444">
        <f>FO_AltGruplar!$G$16</f>
        <v/>
      </c>
      <c r="I70" s="444">
        <f>FO_Finansal!I19</f>
        <v/>
      </c>
      <c r="J70" s="444">
        <f>G70*H70*I70</f>
        <v/>
      </c>
      <c r="K70" s="444">
        <f>H70*I70</f>
        <v/>
      </c>
      <c r="L70" s="274" t="inlineStr">
        <is>
          <t>Hacim ve Ekonomi Ölçeği: 13.000 baş damızlık satışı ve 256 ton yapağı ile devasa bir ciro yaratır. Ancak çok büyük ölçekli sürülerde (130 bin baş) birim maliyet yönetimi Gözlü kadar "yalın" olmayabilir.</t>
        </is>
      </c>
      <c r="M70" s="274" t="n">
        <v>4</v>
      </c>
      <c r="N70" s="274" t="inlineStr">
        <is>
          <t>Yüksek Katma Değerli Ürün: Atçılık (Arap Atı) birimi, birim başına en yüksek kâr marjını sağlayan koldur. Sığırcılıkta döl verimi rekor seviyededir ancak %9,2'lik buzağı kaybı finansal bir "fire/maliyet" unsurudur.</t>
        </is>
      </c>
      <c r="O70" s="275" t="n">
        <v>4</v>
      </c>
      <c r="P70" s="274" t="inlineStr">
        <is>
          <t>Yüksek Brüt Marj &amp; Verimlilik: Sığırcılıkta günlük 24,5 kg süt verimi ve %100'e yakın süt satış oranıyla nakit akışı en güçlü işletmedir. Düşük ölüm oranları (%2) ve yüksek döl verimi (%95) sayesinde "boşa giden maliyet" (kayıp) en azdır.</t>
        </is>
      </c>
      <c r="Q70" s="444" t="n">
        <v>4</v>
      </c>
      <c r="R70" s="444">
        <f>100*(M70-1)/4</f>
        <v/>
      </c>
      <c r="S70" s="444">
        <f>100*(O70-1)/4</f>
        <v/>
      </c>
      <c r="T70" s="444">
        <f>100*(Q70-1)/4</f>
        <v/>
      </c>
      <c r="U70" s="444">
        <f>R70*J70</f>
        <v/>
      </c>
      <c r="V70" s="444">
        <f>R70*K70</f>
        <v/>
      </c>
      <c r="W70" s="444">
        <f>S70*$J70</f>
        <v/>
      </c>
      <c r="X70" s="270">
        <f>S70*K70</f>
        <v/>
      </c>
      <c r="Y70" s="444">
        <f>T70*$J70</f>
        <v/>
      </c>
      <c r="Z70" s="270">
        <f>T70*K70</f>
        <v/>
      </c>
      <c r="AA70" s="444">
        <f>R70*F70</f>
        <v/>
      </c>
      <c r="AB70" s="270">
        <f>R70*E70</f>
        <v/>
      </c>
      <c r="AC70" s="444">
        <f>S70*F70</f>
        <v/>
      </c>
      <c r="AD70" s="270">
        <f>S70*E70</f>
        <v/>
      </c>
      <c r="AE70" s="444">
        <f>T70*F70</f>
        <v/>
      </c>
      <c r="AF70" s="270">
        <f>T70*E70</f>
        <v/>
      </c>
      <c r="AG70" s="443">
        <f>R70*0.25*K70</f>
        <v/>
      </c>
      <c r="AH70" s="283">
        <f>K70*R70</f>
        <v/>
      </c>
      <c r="AI70" s="443">
        <f>S70*0.25*$K70</f>
        <v/>
      </c>
      <c r="AJ70" s="443">
        <f>S70*K70</f>
        <v/>
      </c>
      <c r="AK70" s="443">
        <f>T70*0.25*$K70</f>
        <v/>
      </c>
      <c r="AL70" s="443">
        <f>K70*T70</f>
        <v/>
      </c>
      <c r="AM70" s="443">
        <f>0.25</f>
        <v/>
      </c>
      <c r="AN70" s="288">
        <f>R70*I70*AM70*0.25</f>
        <v/>
      </c>
      <c r="AO70" s="288">
        <f>R70*I70*AM70</f>
        <v/>
      </c>
      <c r="AP70" s="288">
        <f>S70*I70*AM70*0.25</f>
        <v/>
      </c>
      <c r="AQ70" s="288">
        <f>S70*I70*AM70</f>
        <v/>
      </c>
      <c r="AR70" s="288">
        <f>T70*I70*AM70*0.25</f>
        <v/>
      </c>
      <c r="AS70" s="288">
        <f>T70*I70*AM70</f>
        <v/>
      </c>
      <c r="AT70" s="444">
        <f>1/6</f>
        <v/>
      </c>
      <c r="AU70" s="444">
        <f>0.25</f>
        <v/>
      </c>
      <c r="AV70" s="288">
        <f>R70*AT70*AU70*0.25</f>
        <v/>
      </c>
      <c r="AW70" s="288">
        <f>R70*AT70*AU70</f>
        <v/>
      </c>
      <c r="AX70" s="288">
        <f>S70*AT70*AU70*0.25</f>
        <v/>
      </c>
      <c r="AY70" s="288">
        <f>S70*AT70*AU70</f>
        <v/>
      </c>
      <c r="AZ70" s="288">
        <f>T70*AT70*AU70*0.25</f>
        <v/>
      </c>
      <c r="BA70" s="288">
        <f>T70*AT70*AU70</f>
        <v/>
      </c>
      <c r="BB70" s="288">
        <f>R70*K70*0.2</f>
        <v/>
      </c>
      <c r="BC70" s="288">
        <f>R70*K70</f>
        <v/>
      </c>
      <c r="BD70" s="274">
        <f>S70*K70*0.2</f>
        <v/>
      </c>
      <c r="BE70" s="288">
        <f>S70*K70</f>
        <v/>
      </c>
      <c r="BF70" s="288">
        <f>T70*K70*0.2</f>
        <v/>
      </c>
      <c r="BG70" s="308">
        <f>T70*K70</f>
        <v/>
      </c>
      <c r="BH70" s="308">
        <f>R70*K70*0.2</f>
        <v/>
      </c>
      <c r="BI70" s="308">
        <f>R70*K70</f>
        <v/>
      </c>
      <c r="BJ70" s="308">
        <f>S70*K70*0.2</f>
        <v/>
      </c>
      <c r="BK70" s="308">
        <f>S70*K70</f>
        <v/>
      </c>
      <c r="BL70" s="308">
        <f>T70*K70*0.2</f>
        <v/>
      </c>
      <c r="BM70" s="311">
        <f>T70*K70</f>
        <v/>
      </c>
      <c r="BN70" s="311">
        <f>R70*K70*0.2</f>
        <v/>
      </c>
      <c r="BO70" s="311">
        <f>K70*R70</f>
        <v/>
      </c>
      <c r="BP70" s="311">
        <f>S70*K70*0.2</f>
        <v/>
      </c>
      <c r="BQ70" s="311">
        <f>K70*S70</f>
        <v/>
      </c>
      <c r="BR70" s="311">
        <f>K70*T70*0.2</f>
        <v/>
      </c>
      <c r="BS70" s="270">
        <f>K70*T70</f>
        <v/>
      </c>
      <c r="BT70" s="444">
        <f>R70*K70*0.4</f>
        <v/>
      </c>
      <c r="BU70" s="444">
        <f>R70*K70</f>
        <v/>
      </c>
      <c r="BV70" s="444">
        <f>S70*K70*0.4</f>
        <v/>
      </c>
      <c r="BW70" s="444">
        <f>S70*K70</f>
        <v/>
      </c>
      <c r="BX70" s="444">
        <f>T70*K70*0.4</f>
        <v/>
      </c>
      <c r="BY70" s="270">
        <f>T70*K70</f>
        <v/>
      </c>
      <c r="BZ70" s="288">
        <f>R70*K70*0</f>
        <v/>
      </c>
      <c r="CA70" s="288">
        <f>R70*K70</f>
        <v/>
      </c>
      <c r="CB70" s="288">
        <f>S70*K70*0</f>
        <v/>
      </c>
      <c r="CC70" s="288">
        <f>S70*K70</f>
        <v/>
      </c>
      <c r="CD70" s="288">
        <f>T70*K70*0</f>
        <v/>
      </c>
      <c r="CE70" s="288">
        <f>T70*K70</f>
        <v/>
      </c>
    </row>
    <row r="71" ht="150" customHeight="1" s="452">
      <c r="A71" s="444" t="n">
        <v>68</v>
      </c>
      <c r="B71" s="279" t="inlineStr">
        <is>
          <t>Dış Girdi Bağımlılığı</t>
        </is>
      </c>
      <c r="C71" s="279" t="inlineStr">
        <is>
          <t>Ekonomik Direnç: İthal tohum, ilaç veya dövize endeksli girdilere olan bağımlılık seviyesi. Kur riskine karşı işletmenin dayanıklılığını ölçer.</t>
        </is>
      </c>
      <c r="D71" s="444">
        <f>ESG_FO_Makale!$G$20</f>
        <v/>
      </c>
      <c r="E71" s="444" t="n">
        <v>0.04000000000000001</v>
      </c>
      <c r="F71" s="444">
        <f>D71*E71</f>
        <v/>
      </c>
      <c r="G71" s="444">
        <f>ESG_FO_AnaBlok!$G$20</f>
        <v/>
      </c>
      <c r="H71" s="444">
        <f>FO_AltGruplar!$G$16</f>
        <v/>
      </c>
      <c r="I71" s="444">
        <f>FO_Finansal!I20</f>
        <v/>
      </c>
      <c r="J71" s="444">
        <f>G71*H71*I71</f>
        <v/>
      </c>
      <c r="K71" s="444">
        <f>H71*I71</f>
        <v/>
      </c>
      <c r="L71" s="444" t="inlineStr">
        <is>
          <t>33 bin tonluk yem kullanımı devasa bir dış girdi gibi görünse de, işletmenin devasa tarım arazilerinde kendi kaba yemini (silaj, yonca) üretme kapasitesi bu bağımlılığı dengeler. Ancak lojistik maliyetleri ölçek nedeniyle bir risk unsurudur.</t>
        </is>
      </c>
      <c r="M71" s="444" t="n">
        <v>4</v>
      </c>
      <c r="N71" s="444" t="inlineStr">
        <is>
          <t xml:space="preserve">Sınırlı mera varlığı ve atçılık faaliyetlerindeki özel rasyon ihtiyacı, dışarıdan girdi teminini artırabilecek unsurlardır. </t>
        </is>
      </c>
      <c r="O71" s="281" t="n">
        <v>3</v>
      </c>
      <c r="P71" s="444" t="inlineStr">
        <is>
          <t xml:space="preserve">Tabi mera varlığının %37 düzeyinde olması ve mera kullanımının yem ihtiyacını kısmen karşılaması dış girdi bağımlılığını azaltabilir. </t>
        </is>
      </c>
      <c r="Q71" s="444" t="n">
        <v>4</v>
      </c>
      <c r="R71" s="444">
        <f>100*(M71-1)/4</f>
        <v/>
      </c>
      <c r="S71" s="444">
        <f>100*(O71-1)/4</f>
        <v/>
      </c>
      <c r="T71" s="444">
        <f>100*(Q71-1)/4</f>
        <v/>
      </c>
      <c r="U71" s="444">
        <f>R71*J71</f>
        <v/>
      </c>
      <c r="V71" s="444">
        <f>R71*K71</f>
        <v/>
      </c>
      <c r="W71" s="444">
        <f>S71*$J71</f>
        <v/>
      </c>
      <c r="X71" s="270">
        <f>S71*K71</f>
        <v/>
      </c>
      <c r="Y71" s="444">
        <f>T71*$J71</f>
        <v/>
      </c>
      <c r="Z71" s="270">
        <f>T71*K71</f>
        <v/>
      </c>
      <c r="AA71" s="444">
        <f>R71*F71</f>
        <v/>
      </c>
      <c r="AB71" s="270">
        <f>R71*E71</f>
        <v/>
      </c>
      <c r="AC71" s="444">
        <f>S71*F71</f>
        <v/>
      </c>
      <c r="AD71" s="270">
        <f>S71*E71</f>
        <v/>
      </c>
      <c r="AE71" s="444">
        <f>T71*F71</f>
        <v/>
      </c>
      <c r="AF71" s="270">
        <f>T71*E71</f>
        <v/>
      </c>
      <c r="AG71" s="443">
        <f>R71*0.25*K71</f>
        <v/>
      </c>
      <c r="AH71" s="283">
        <f>K71*R71</f>
        <v/>
      </c>
      <c r="AI71" s="443">
        <f>S71*0.25*$K71</f>
        <v/>
      </c>
      <c r="AJ71" s="443">
        <f>S71*K71</f>
        <v/>
      </c>
      <c r="AK71" s="443">
        <f>T71*0.25*$K71</f>
        <v/>
      </c>
      <c r="AL71" s="443">
        <f>K71*T71</f>
        <v/>
      </c>
      <c r="AM71" s="443">
        <f>0.25</f>
        <v/>
      </c>
      <c r="AN71" s="288">
        <f>R71*I71*AM71*0.25</f>
        <v/>
      </c>
      <c r="AO71" s="288">
        <f>R71*I71*AM71</f>
        <v/>
      </c>
      <c r="AP71" s="288">
        <f>S71*I71*AM71*0.25</f>
        <v/>
      </c>
      <c r="AQ71" s="288">
        <f>S71*I71*AM71</f>
        <v/>
      </c>
      <c r="AR71" s="288">
        <f>T71*I71*AM71*0.25</f>
        <v/>
      </c>
      <c r="AS71" s="288">
        <f>T71*I71*AM71</f>
        <v/>
      </c>
      <c r="AT71" s="444">
        <f>1/6</f>
        <v/>
      </c>
      <c r="AU71" s="444">
        <f>0.25</f>
        <v/>
      </c>
      <c r="AV71" s="288">
        <f>R71*AT71*AU71*0.25</f>
        <v/>
      </c>
      <c r="AW71" s="288">
        <f>R71*AT71*AU71</f>
        <v/>
      </c>
      <c r="AX71" s="288">
        <f>S71*AT71*AU71*0.25</f>
        <v/>
      </c>
      <c r="AY71" s="288">
        <f>S71*AT71*AU71</f>
        <v/>
      </c>
      <c r="AZ71" s="288">
        <f>T71*AT71*AU71*0.25</f>
        <v/>
      </c>
      <c r="BA71" s="288">
        <f>T71*AT71*AU71</f>
        <v/>
      </c>
      <c r="BB71" s="288">
        <f>R71*K71*0.2</f>
        <v/>
      </c>
      <c r="BC71" s="288">
        <f>R71*K71</f>
        <v/>
      </c>
      <c r="BD71" s="274">
        <f>S71*K71*0.2</f>
        <v/>
      </c>
      <c r="BE71" s="288">
        <f>S71*K71</f>
        <v/>
      </c>
      <c r="BF71" s="288">
        <f>T71*K71*0.2</f>
        <v/>
      </c>
      <c r="BG71" s="308">
        <f>T71*K71</f>
        <v/>
      </c>
      <c r="BH71" s="308">
        <f>R71*K71*0.2</f>
        <v/>
      </c>
      <c r="BI71" s="308">
        <f>R71*K71</f>
        <v/>
      </c>
      <c r="BJ71" s="308">
        <f>S71*K71*0.2</f>
        <v/>
      </c>
      <c r="BK71" s="308">
        <f>S71*K71</f>
        <v/>
      </c>
      <c r="BL71" s="308">
        <f>T71*K71*0.2</f>
        <v/>
      </c>
      <c r="BM71" s="311">
        <f>T71*K71</f>
        <v/>
      </c>
      <c r="BN71" s="311">
        <f>R71*K71*0.2</f>
        <v/>
      </c>
      <c r="BO71" s="311">
        <f>K71*R71</f>
        <v/>
      </c>
      <c r="BP71" s="311">
        <f>S71*K71*0.2</f>
        <v/>
      </c>
      <c r="BQ71" s="311">
        <f>K71*S71</f>
        <v/>
      </c>
      <c r="BR71" s="311">
        <f>K71*T71*0.2</f>
        <v/>
      </c>
      <c r="BS71" s="270">
        <f>K71*T71</f>
        <v/>
      </c>
      <c r="BT71" s="444">
        <f>R71*K71*0.4</f>
        <v/>
      </c>
      <c r="BU71" s="444">
        <f>R71*K71</f>
        <v/>
      </c>
      <c r="BV71" s="444">
        <f>S71*K71*0.4</f>
        <v/>
      </c>
      <c r="BW71" s="444">
        <f>S71*K71</f>
        <v/>
      </c>
      <c r="BX71" s="444">
        <f>T71*K71*0.4</f>
        <v/>
      </c>
      <c r="BY71" s="270">
        <f>T71*K71</f>
        <v/>
      </c>
      <c r="BZ71" s="288">
        <f>R71*K71*0</f>
        <v/>
      </c>
      <c r="CA71" s="288">
        <f>R71*K71</f>
        <v/>
      </c>
      <c r="CB71" s="288">
        <f>S71*K71*0</f>
        <v/>
      </c>
      <c r="CC71" s="288">
        <f>S71*K71</f>
        <v/>
      </c>
      <c r="CD71" s="288">
        <f>T71*K71*0</f>
        <v/>
      </c>
      <c r="CE71" s="288">
        <f>T71*K71</f>
        <v/>
      </c>
    </row>
    <row r="72" ht="102" customHeight="1" s="452">
      <c r="A72" s="444" t="n">
        <v>69</v>
      </c>
      <c r="B72" s="279" t="inlineStr">
        <is>
          <t>Üretim Maliyet Hesaplamaları</t>
        </is>
      </c>
      <c r="C72" s="279" t="inlineStr">
        <is>
          <t>Mali Disiplin: Sürdürülebilirliğin temeli doğru ölçümdür. Girdi maliyetlerinin (enerji, su, gübre) hassas takibi, verimlilik kararları için en kritik veridir.</t>
        </is>
      </c>
      <c r="D72" s="444">
        <f>ESG_FO_Makale!$G$20</f>
        <v/>
      </c>
      <c r="E72" s="444" t="n">
        <v>0.05</v>
      </c>
      <c r="F72" s="444">
        <f>D72*E72</f>
        <v/>
      </c>
      <c r="G72" s="444">
        <f>ESG_FO_AnaBlok!$G$20</f>
        <v/>
      </c>
      <c r="H72" s="444">
        <f>FO_AltGruplar!$G$16</f>
        <v/>
      </c>
      <c r="I72" s="444">
        <f>FO_Finansal!I21</f>
        <v/>
      </c>
      <c r="J72" s="444">
        <f>G72*H72*I72</f>
        <v/>
      </c>
      <c r="K72" s="444">
        <f>H72*I72</f>
        <v/>
      </c>
      <c r="L72" s="444" t="inlineStr">
        <is>
          <t xml:space="preserve">Bilanço alt tablolarında maliyet unsur hesaplamaları yapılmaktadır. </t>
        </is>
      </c>
      <c r="M72" s="444" t="n">
        <v>4</v>
      </c>
      <c r="N72" s="444" t="inlineStr">
        <is>
          <t>Bilanço alt tablolarında maliyet unsur hesaplamaları yapılmaktadır.</t>
        </is>
      </c>
      <c r="O72" s="281" t="n">
        <v>4</v>
      </c>
      <c r="P72" s="444" t="inlineStr">
        <is>
          <t>Bilanço alt tablolarında maliyet unsur hesaplamaları yapılmaktadır.</t>
        </is>
      </c>
      <c r="Q72" s="444" t="n">
        <v>4</v>
      </c>
      <c r="R72" s="444">
        <f>100*(M72-1)/4</f>
        <v/>
      </c>
      <c r="S72" s="444">
        <f>100*(O72-1)/4</f>
        <v/>
      </c>
      <c r="T72" s="444">
        <f>100*(Q72-1)/4</f>
        <v/>
      </c>
      <c r="U72" s="444">
        <f>R72*J72</f>
        <v/>
      </c>
      <c r="V72" s="444">
        <f>R72*K72</f>
        <v/>
      </c>
      <c r="W72" s="444">
        <f>S72*$J72</f>
        <v/>
      </c>
      <c r="X72" s="270">
        <f>S72*K72</f>
        <v/>
      </c>
      <c r="Y72" s="444">
        <f>T72*$J72</f>
        <v/>
      </c>
      <c r="Z72" s="270">
        <f>T72*K72</f>
        <v/>
      </c>
      <c r="AA72" s="444">
        <f>R72*F72</f>
        <v/>
      </c>
      <c r="AB72" s="270">
        <f>R72*E72</f>
        <v/>
      </c>
      <c r="AC72" s="444">
        <f>S72*F72</f>
        <v/>
      </c>
      <c r="AD72" s="270">
        <f>S72*E72</f>
        <v/>
      </c>
      <c r="AE72" s="444">
        <f>T72*F72</f>
        <v/>
      </c>
      <c r="AF72" s="270">
        <f>T72*E72</f>
        <v/>
      </c>
      <c r="AG72" s="443">
        <f>R72*0.25*K72</f>
        <v/>
      </c>
      <c r="AH72" s="283">
        <f>K72*R72</f>
        <v/>
      </c>
      <c r="AI72" s="443">
        <f>S72*0.25*$K72</f>
        <v/>
      </c>
      <c r="AJ72" s="443">
        <f>S72*K72</f>
        <v/>
      </c>
      <c r="AK72" s="443">
        <f>T72*0.25*$K72</f>
        <v/>
      </c>
      <c r="AL72" s="443">
        <f>K72*T72</f>
        <v/>
      </c>
      <c r="AM72" s="443">
        <f>0.25</f>
        <v/>
      </c>
      <c r="AN72" s="288">
        <f>R72*I72*AM72*0.25</f>
        <v/>
      </c>
      <c r="AO72" s="288">
        <f>R72*I72*AM72</f>
        <v/>
      </c>
      <c r="AP72" s="288">
        <f>S72*I72*AM72*0.25</f>
        <v/>
      </c>
      <c r="AQ72" s="288">
        <f>S72*I72*AM72</f>
        <v/>
      </c>
      <c r="AR72" s="288">
        <f>T72*I72*AM72*0.25</f>
        <v/>
      </c>
      <c r="AS72" s="288">
        <f>T72*I72*AM72</f>
        <v/>
      </c>
      <c r="AT72" s="444">
        <f>1/6</f>
        <v/>
      </c>
      <c r="AU72" s="444">
        <f>0.25</f>
        <v/>
      </c>
      <c r="AV72" s="288">
        <f>R72*AT72*AU72*0.25</f>
        <v/>
      </c>
      <c r="AW72" s="288">
        <f>R72*AT72*AU72</f>
        <v/>
      </c>
      <c r="AX72" s="288">
        <f>S72*AT72*AU72*0.25</f>
        <v/>
      </c>
      <c r="AY72" s="288">
        <f>S72*AT72*AU72</f>
        <v/>
      </c>
      <c r="AZ72" s="288">
        <f>T72*AT72*AU72*0.25</f>
        <v/>
      </c>
      <c r="BA72" s="288">
        <f>T72*AT72*AU72</f>
        <v/>
      </c>
      <c r="BB72" s="288">
        <f>R72*K72*0.2</f>
        <v/>
      </c>
      <c r="BC72" s="288">
        <f>R72*K72</f>
        <v/>
      </c>
      <c r="BD72" s="274">
        <f>S72*K72*0.2</f>
        <v/>
      </c>
      <c r="BE72" s="288">
        <f>S72*K72</f>
        <v/>
      </c>
      <c r="BF72" s="288">
        <f>T72*K72*0.2</f>
        <v/>
      </c>
      <c r="BG72" s="308">
        <f>T72*K72</f>
        <v/>
      </c>
      <c r="BH72" s="308">
        <f>R72*K72*0.2</f>
        <v/>
      </c>
      <c r="BI72" s="308">
        <f>R72*K72</f>
        <v/>
      </c>
      <c r="BJ72" s="308">
        <f>S72*K72*0.2</f>
        <v/>
      </c>
      <c r="BK72" s="308">
        <f>S72*K72</f>
        <v/>
      </c>
      <c r="BL72" s="308">
        <f>T72*K72*0.2</f>
        <v/>
      </c>
      <c r="BM72" s="311">
        <f>T72*K72</f>
        <v/>
      </c>
      <c r="BN72" s="311">
        <f>R72*K72*0.2</f>
        <v/>
      </c>
      <c r="BO72" s="311">
        <f>K72*R72</f>
        <v/>
      </c>
      <c r="BP72" s="311">
        <f>S72*K72*0.2</f>
        <v/>
      </c>
      <c r="BQ72" s="311">
        <f>K72*S72</f>
        <v/>
      </c>
      <c r="BR72" s="311">
        <f>K72*T72*0.2</f>
        <v/>
      </c>
      <c r="BS72" s="270">
        <f>K72*T72</f>
        <v/>
      </c>
      <c r="BT72" s="444">
        <f>R72*K72*0.4</f>
        <v/>
      </c>
      <c r="BU72" s="444">
        <f>R72*K72</f>
        <v/>
      </c>
      <c r="BV72" s="444">
        <f>S72*K72*0.4</f>
        <v/>
      </c>
      <c r="BW72" s="444">
        <f>S72*K72</f>
        <v/>
      </c>
      <c r="BX72" s="444">
        <f>T72*K72*0.4</f>
        <v/>
      </c>
      <c r="BY72" s="270">
        <f>T72*K72</f>
        <v/>
      </c>
      <c r="BZ72" s="288">
        <f>R72*K72*0</f>
        <v/>
      </c>
      <c r="CA72" s="288">
        <f>R72*K72</f>
        <v/>
      </c>
      <c r="CB72" s="288">
        <f>S72*K72*0</f>
        <v/>
      </c>
      <c r="CC72" s="288">
        <f>S72*K72</f>
        <v/>
      </c>
      <c r="CD72" s="288">
        <f>T72*K72*0</f>
        <v/>
      </c>
      <c r="CE72" s="288">
        <f>T72*K72</f>
        <v/>
      </c>
    </row>
    <row r="73" ht="120" customFormat="1" customHeight="1" s="288">
      <c r="A73" s="288" t="n">
        <v>70</v>
      </c>
      <c r="B73" s="273" t="inlineStr">
        <is>
          <t>İşletme Karlılığı</t>
        </is>
      </c>
      <c r="C73" s="273" t="inlineStr">
        <is>
          <t>Süreklilik: TİGEM bir kamu kurumu olsa da, kendi yatırımlarını finanse edebilmesi için operasyonel kâr üretmesi "ekonomik sürdürülebilirlik" gereğidir.</t>
        </is>
      </c>
      <c r="D73" s="274">
        <f>ESG_FO_Makale!$G$20</f>
        <v/>
      </c>
      <c r="E73" s="274" t="n">
        <v>0.03</v>
      </c>
      <c r="F73" s="444">
        <f>D73*E73</f>
        <v/>
      </c>
      <c r="G73" s="274">
        <f>ESG_FO_AnaBlok!$G$20</f>
        <v/>
      </c>
      <c r="H73" s="274">
        <f>FO_AltGruplar!$G$16</f>
        <v/>
      </c>
      <c r="I73" s="274">
        <f>FO_Finansal!I22</f>
        <v/>
      </c>
      <c r="J73" s="274">
        <f>G73*H73*I73</f>
        <v/>
      </c>
      <c r="K73" s="444">
        <f>H73*I73</f>
        <v/>
      </c>
      <c r="L73" s="274" t="inlineStr">
        <is>
          <t xml:space="preserve">2023-2024 yılı kayıtlarında işletme karlılığı raporlanmaktadır.                         ( Net Kar Marjı:
 Net Kar / Satışlar=yaklaşık %30)
</t>
        </is>
      </c>
      <c r="M73" s="274" t="n">
        <v>4</v>
      </c>
      <c r="N73" s="274" t="inlineStr">
        <is>
          <t>Kamu işletmesi niteliği nedeniyle kârlılık yalnızca özel şirket net kârı gibi yorumlanmamalıdır. Faaliyet geliri, faaliyet gideri, kamu hizmeti maliyeti, yatırım harcaması ve sübvansiyon/transfer etkisi</t>
        </is>
      </c>
      <c r="O73" s="275" t="n">
        <v>3</v>
      </c>
      <c r="P73" s="274" t="inlineStr">
        <is>
          <t>Kamu işletmesi niteliği nedeniyle kârlılık yalnızca özel şirket net kârı gibi yorumlanmamalıdır. Faaliyet geliri, faaliyet gideri, kamu hizmeti maliyeti, yatırım harcaması ve sübvansiyon/transfer etkisi</t>
        </is>
      </c>
      <c r="Q73" s="288" t="n">
        <v>3</v>
      </c>
      <c r="R73" s="444">
        <f>100*(M73-1)/4</f>
        <v/>
      </c>
      <c r="S73" s="444">
        <f>100*(O73-1)/4</f>
        <v/>
      </c>
      <c r="T73" s="444">
        <f>100*(Q73-1)/4</f>
        <v/>
      </c>
      <c r="U73" s="288">
        <f>R73*J73</f>
        <v/>
      </c>
      <c r="V73" s="444">
        <f>R73*K73</f>
        <v/>
      </c>
      <c r="W73" s="444">
        <f>S73*$J73</f>
        <v/>
      </c>
      <c r="X73" s="270">
        <f>S73*K73</f>
        <v/>
      </c>
      <c r="Y73" s="444">
        <f>T73*$J73</f>
        <v/>
      </c>
      <c r="Z73" s="270">
        <f>T73*K73</f>
        <v/>
      </c>
      <c r="AA73" s="444">
        <f>R73*F73</f>
        <v/>
      </c>
      <c r="AB73" s="270">
        <f>R73*E73</f>
        <v/>
      </c>
      <c r="AC73" s="444">
        <f>S73*F73</f>
        <v/>
      </c>
      <c r="AD73" s="270">
        <f>S73*E73</f>
        <v/>
      </c>
      <c r="AE73" s="444">
        <f>T73*F73</f>
        <v/>
      </c>
      <c r="AF73" s="270">
        <f>T73*E73</f>
        <v/>
      </c>
      <c r="AG73" s="443">
        <f>R73*0.25*K73</f>
        <v/>
      </c>
      <c r="AH73" s="283">
        <f>K73*R73</f>
        <v/>
      </c>
      <c r="AI73" s="443">
        <f>S73*0.25*$K73</f>
        <v/>
      </c>
      <c r="AJ73" s="443">
        <f>S73*K73</f>
        <v/>
      </c>
      <c r="AK73" s="443">
        <f>T73*0.25*$K73</f>
        <v/>
      </c>
      <c r="AL73" s="443">
        <f>K73*T73</f>
        <v/>
      </c>
      <c r="AM73" s="443">
        <f>0.25</f>
        <v/>
      </c>
      <c r="AN73" s="288">
        <f>R73*I73*AM73*0.25</f>
        <v/>
      </c>
      <c r="AO73" s="288">
        <f>R73*I73*AM73</f>
        <v/>
      </c>
      <c r="AP73" s="288">
        <f>S73*I73*AM73*0.25</f>
        <v/>
      </c>
      <c r="AQ73" s="288">
        <f>S73*I73*AM73</f>
        <v/>
      </c>
      <c r="AR73" s="288">
        <f>T73*I73*AM73*0.25</f>
        <v/>
      </c>
      <c r="AS73" s="288">
        <f>T73*I73*AM73</f>
        <v/>
      </c>
      <c r="AT73" s="444">
        <f>1/6</f>
        <v/>
      </c>
      <c r="AU73" s="444">
        <f>0.25</f>
        <v/>
      </c>
      <c r="AV73" s="288">
        <f>R73*AT73*AU73*0.25</f>
        <v/>
      </c>
      <c r="AW73" s="288">
        <f>R73*AT73*AU73</f>
        <v/>
      </c>
      <c r="AX73" s="288">
        <f>S73*AT73*AU73*0.25</f>
        <v/>
      </c>
      <c r="AY73" s="288">
        <f>S73*AT73*AU73</f>
        <v/>
      </c>
      <c r="AZ73" s="288">
        <f>T73*AT73*AU73*0.25</f>
        <v/>
      </c>
      <c r="BA73" s="288">
        <f>T73*AT73*AU73</f>
        <v/>
      </c>
      <c r="BB73" s="288">
        <f>R73*K73*0.2</f>
        <v/>
      </c>
      <c r="BC73" s="288">
        <f>R73*K73</f>
        <v/>
      </c>
      <c r="BD73" s="274">
        <f>S73*K73*0.2</f>
        <v/>
      </c>
      <c r="BE73" s="288">
        <f>S73*K73</f>
        <v/>
      </c>
      <c r="BF73" s="288">
        <f>T73*K73*0.2</f>
        <v/>
      </c>
      <c r="BG73" s="308">
        <f>T73*K73</f>
        <v/>
      </c>
      <c r="BH73" s="308">
        <f>R73*K73*0.2</f>
        <v/>
      </c>
      <c r="BI73" s="308">
        <f>R73*K73</f>
        <v/>
      </c>
      <c r="BJ73" s="308">
        <f>S73*K73*0.2</f>
        <v/>
      </c>
      <c r="BK73" s="308">
        <f>S73*K73</f>
        <v/>
      </c>
      <c r="BL73" s="308">
        <f>T73*K73*0.2</f>
        <v/>
      </c>
      <c r="BM73" s="311">
        <f>T73*K73</f>
        <v/>
      </c>
      <c r="BN73" s="311">
        <f>R73*K73*0.2</f>
        <v/>
      </c>
      <c r="BO73" s="311">
        <f>K73*R73</f>
        <v/>
      </c>
      <c r="BP73" s="311">
        <f>S73*K73*0.2</f>
        <v/>
      </c>
      <c r="BQ73" s="311">
        <f>K73*S73</f>
        <v/>
      </c>
      <c r="BR73" s="311">
        <f>K73*T73*0.2</f>
        <v/>
      </c>
      <c r="BS73" s="270">
        <f>K73*T73</f>
        <v/>
      </c>
      <c r="BT73" s="444">
        <f>R73*K73*0.4</f>
        <v/>
      </c>
      <c r="BU73" s="444">
        <f>R73*K73</f>
        <v/>
      </c>
      <c r="BV73" s="444">
        <f>S73*K73*0.4</f>
        <v/>
      </c>
      <c r="BW73" s="444">
        <f>S73*K73</f>
        <v/>
      </c>
      <c r="BX73" s="444">
        <f>T73*K73*0.4</f>
        <v/>
      </c>
      <c r="BY73" s="270">
        <f>T73*K73</f>
        <v/>
      </c>
      <c r="BZ73" s="288">
        <f>R73*K73*0</f>
        <v/>
      </c>
      <c r="CA73" s="288">
        <f>R73*K73</f>
        <v/>
      </c>
      <c r="CB73" s="288">
        <f>S73*K73*0</f>
        <v/>
      </c>
      <c r="CC73" s="288">
        <f>S73*K73</f>
        <v/>
      </c>
      <c r="CD73" s="288">
        <f>T73*K73*0</f>
        <v/>
      </c>
      <c r="CE73" s="288">
        <f>T73*K73</f>
        <v/>
      </c>
    </row>
    <row r="74" ht="89.25" customFormat="1" customHeight="1" s="274">
      <c r="A74" s="274" t="n">
        <v>71</v>
      </c>
      <c r="B74" s="273" t="inlineStr">
        <is>
          <t>Üretim Kayıpları</t>
        </is>
      </c>
      <c r="C74" s="273" t="inlineStr">
        <is>
          <t>İsrafın Önlenmesi: Hasat sonrası kayıpların ve verimsizliğin nakit akışına verdiği zarar. "Sıfır Atık" ve verimlilik odaklı denetimin mali ayağıdır.</t>
        </is>
      </c>
      <c r="D74" s="274">
        <f>ESG_FO_Makale!$G$20</f>
        <v/>
      </c>
      <c r="E74" s="274" t="n">
        <v>0.03</v>
      </c>
      <c r="F74" s="444">
        <f>D74*E74</f>
        <v/>
      </c>
      <c r="G74" s="274">
        <f>ESG_FO_AnaBlok!$G$20</f>
        <v/>
      </c>
      <c r="H74" s="274">
        <f>FO_AltGruplar!$G$16</f>
        <v/>
      </c>
      <c r="I74" s="274">
        <f>FO_Finansal!I23</f>
        <v/>
      </c>
      <c r="J74" s="274">
        <f>G74*H74*I74</f>
        <v/>
      </c>
      <c r="K74" s="444">
        <f>H74*I74</f>
        <v/>
      </c>
      <c r="L74" s="274" t="inlineStr">
        <is>
          <t xml:space="preserve">Hasat kayıpları hesaplanarak tablolara yansıtılmaktadır; </t>
        </is>
      </c>
      <c r="M74" s="274" t="n">
        <v>4</v>
      </c>
      <c r="N74" s="274" t="inlineStr">
        <is>
          <t xml:space="preserve">Hasat kayıpları hesaplanarak mali  tablolara yansıtılmaktadır; </t>
        </is>
      </c>
      <c r="O74" s="275" t="n">
        <v>4</v>
      </c>
      <c r="P74" s="274" t="inlineStr">
        <is>
          <t xml:space="preserve">Hasat kayıpları hesaplanarak  mali tablolara yansıtılmaktadır; </t>
        </is>
      </c>
      <c r="Q74" s="274" t="n">
        <v>4</v>
      </c>
      <c r="R74" s="444">
        <f>100*(M74-1)/4</f>
        <v/>
      </c>
      <c r="S74" s="444">
        <f>100*(O74-1)/4</f>
        <v/>
      </c>
      <c r="T74" s="444">
        <f>100*(Q74-1)/4</f>
        <v/>
      </c>
      <c r="U74" s="274">
        <f>R74*J74</f>
        <v/>
      </c>
      <c r="V74" s="444">
        <f>R74*K74</f>
        <v/>
      </c>
      <c r="W74" s="444">
        <f>S74*$J74</f>
        <v/>
      </c>
      <c r="X74" s="270">
        <f>S74*K74</f>
        <v/>
      </c>
      <c r="Y74" s="444">
        <f>T74*$J74</f>
        <v/>
      </c>
      <c r="Z74" s="270">
        <f>T74*K74</f>
        <v/>
      </c>
      <c r="AA74" s="444">
        <f>R74*F74</f>
        <v/>
      </c>
      <c r="AB74" s="270">
        <f>R74*E74</f>
        <v/>
      </c>
      <c r="AC74" s="444">
        <f>S74*F74</f>
        <v/>
      </c>
      <c r="AD74" s="270">
        <f>S74*E74</f>
        <v/>
      </c>
      <c r="AE74" s="444">
        <f>T74*F74</f>
        <v/>
      </c>
      <c r="AF74" s="270">
        <f>T74*E74</f>
        <v/>
      </c>
      <c r="AG74" s="443">
        <f>R74*0.25*K74</f>
        <v/>
      </c>
      <c r="AH74" s="283">
        <f>K74*R74</f>
        <v/>
      </c>
      <c r="AI74" s="443">
        <f>S74*0.25*$K74</f>
        <v/>
      </c>
      <c r="AJ74" s="443">
        <f>S74*K74</f>
        <v/>
      </c>
      <c r="AK74" s="443">
        <f>T74*0.25*$K74</f>
        <v/>
      </c>
      <c r="AL74" s="443">
        <f>K74*T74</f>
        <v/>
      </c>
      <c r="AM74" s="443">
        <f>0.25</f>
        <v/>
      </c>
      <c r="AN74" s="288">
        <f>R74*I74*AM74*0.25</f>
        <v/>
      </c>
      <c r="AO74" s="288">
        <f>R74*I74*AM74</f>
        <v/>
      </c>
      <c r="AP74" s="288">
        <f>S74*I74*AM74*0.25</f>
        <v/>
      </c>
      <c r="AQ74" s="288">
        <f>S74*I74*AM74</f>
        <v/>
      </c>
      <c r="AR74" s="288">
        <f>T74*I74*AM74*0.25</f>
        <v/>
      </c>
      <c r="AS74" s="288">
        <f>T74*I74*AM74</f>
        <v/>
      </c>
      <c r="AT74" s="444">
        <f>1/6</f>
        <v/>
      </c>
      <c r="AU74" s="444">
        <f>0.25</f>
        <v/>
      </c>
      <c r="AV74" s="288">
        <f>R74*AT74*AU74*0.25</f>
        <v/>
      </c>
      <c r="AW74" s="288">
        <f>R74*AT74*AU74</f>
        <v/>
      </c>
      <c r="AX74" s="288">
        <f>S74*AT74*AU74*0.25</f>
        <v/>
      </c>
      <c r="AY74" s="288">
        <f>S74*AT74*AU74</f>
        <v/>
      </c>
      <c r="AZ74" s="288">
        <f>T74*AT74*AU74*0.25</f>
        <v/>
      </c>
      <c r="BA74" s="288">
        <f>T74*AT74*AU74</f>
        <v/>
      </c>
      <c r="BB74" s="288">
        <f>R74*K74*0.2</f>
        <v/>
      </c>
      <c r="BC74" s="288">
        <f>R74*K74</f>
        <v/>
      </c>
      <c r="BD74" s="274">
        <f>S74*K74*0.2</f>
        <v/>
      </c>
      <c r="BE74" s="288">
        <f>S74*K74</f>
        <v/>
      </c>
      <c r="BF74" s="288">
        <f>T74*K74*0.2</f>
        <v/>
      </c>
      <c r="BG74" s="308">
        <f>T74*K74</f>
        <v/>
      </c>
      <c r="BH74" s="308">
        <f>R74*K74*0.2</f>
        <v/>
      </c>
      <c r="BI74" s="308">
        <f>R74*K74</f>
        <v/>
      </c>
      <c r="BJ74" s="308">
        <f>S74*K74*0.2</f>
        <v/>
      </c>
      <c r="BK74" s="308">
        <f>S74*K74</f>
        <v/>
      </c>
      <c r="BL74" s="308">
        <f>T74*K74*0.2</f>
        <v/>
      </c>
      <c r="BM74" s="311">
        <f>T74*K74</f>
        <v/>
      </c>
      <c r="BN74" s="311">
        <f>R74*K74*0.2</f>
        <v/>
      </c>
      <c r="BO74" s="311">
        <f>K74*R74</f>
        <v/>
      </c>
      <c r="BP74" s="311">
        <f>S74*K74*0.2</f>
        <v/>
      </c>
      <c r="BQ74" s="311">
        <f>K74*S74</f>
        <v/>
      </c>
      <c r="BR74" s="311">
        <f>K74*T74*0.2</f>
        <v/>
      </c>
      <c r="BS74" s="270">
        <f>K74*T74</f>
        <v/>
      </c>
      <c r="BT74" s="444">
        <f>R74*K74*0.4</f>
        <v/>
      </c>
      <c r="BU74" s="444">
        <f>R74*K74</f>
        <v/>
      </c>
      <c r="BV74" s="444">
        <f>S74*K74*0.4</f>
        <v/>
      </c>
      <c r="BW74" s="444">
        <f>S74*K74</f>
        <v/>
      </c>
      <c r="BX74" s="444">
        <f>T74*K74*0.4</f>
        <v/>
      </c>
      <c r="BY74" s="270">
        <f>T74*K74</f>
        <v/>
      </c>
      <c r="BZ74" s="288">
        <f>R74*K74*0</f>
        <v/>
      </c>
      <c r="CA74" s="288">
        <f>R74*K74</f>
        <v/>
      </c>
      <c r="CB74" s="288">
        <f>S74*K74*0</f>
        <v/>
      </c>
      <c r="CC74" s="288">
        <f>S74*K74</f>
        <v/>
      </c>
      <c r="CD74" s="288">
        <f>T74*K74*0</f>
        <v/>
      </c>
      <c r="CE74" s="288">
        <f>T74*K74</f>
        <v/>
      </c>
    </row>
    <row r="75" ht="102" customHeight="1" s="452">
      <c r="A75" s="444" t="n">
        <v>72</v>
      </c>
      <c r="B75" s="279" t="inlineStr">
        <is>
          <t>Stok Devir Hızı</t>
        </is>
      </c>
      <c r="C75" s="279" t="inlineStr">
        <is>
          <t>Lojistik Verimlilik: Girdilerin (gübre, tohum, ilaç) depoda bekleme süresi. Sermayenin bağlanmaması ve ürün bozulma riskinin yönetimidir.</t>
        </is>
      </c>
      <c r="D75" s="444">
        <f>ESG_FO_Makale!$G$20</f>
        <v/>
      </c>
      <c r="E75" s="444" t="n">
        <v>0.03</v>
      </c>
      <c r="F75" s="444">
        <f>D75*E75</f>
        <v/>
      </c>
      <c r="G75" s="444">
        <f>ESG_FO_AnaBlok!$G$20</f>
        <v/>
      </c>
      <c r="H75" s="444">
        <f>FO_AltGruplar!$G$17</f>
        <v/>
      </c>
      <c r="I75" s="444">
        <f>FO_Operasyonel!H17</f>
        <v/>
      </c>
      <c r="J75" s="444">
        <f>G75*H75*I75</f>
        <v/>
      </c>
      <c r="K75" s="444">
        <f>H75*I75</f>
        <v/>
      </c>
      <c r="L75" s="444" t="inlineStr">
        <is>
          <t>Ambar kayıtları tutulmakla birlikte dijitalizasyon ve stok takip sistemi geliştirilmelidir.</t>
        </is>
      </c>
      <c r="M75" s="444" t="n">
        <v>3</v>
      </c>
      <c r="N75" s="444" t="inlineStr">
        <is>
          <t>Ambar kayıtları tutulmakla birlikte dijitalizasyon ve stok takip sistemi geliştirilmelidir.</t>
        </is>
      </c>
      <c r="O75" s="281" t="n">
        <v>3</v>
      </c>
      <c r="P75" s="444" t="inlineStr">
        <is>
          <t>Ambar kayıtları tutulmakla birlikte dijitalizasyon ve stok takip sistemi geliştirilmelidir.</t>
        </is>
      </c>
      <c r="Q75" s="444" t="n">
        <v>3</v>
      </c>
      <c r="R75" s="444">
        <f>100*(M75-1)/4</f>
        <v/>
      </c>
      <c r="S75" s="444">
        <f>100*(O75-1)/4</f>
        <v/>
      </c>
      <c r="T75" s="444">
        <f>100*(Q75-1)/4</f>
        <v/>
      </c>
      <c r="U75" s="444">
        <f>R75*J75</f>
        <v/>
      </c>
      <c r="V75" s="444">
        <f>R75*K75</f>
        <v/>
      </c>
      <c r="W75" s="444">
        <f>S75*$J75</f>
        <v/>
      </c>
      <c r="X75" s="270">
        <f>S75*K75</f>
        <v/>
      </c>
      <c r="Y75" s="444">
        <f>T75*$J75</f>
        <v/>
      </c>
      <c r="Z75" s="270">
        <f>T75*K75</f>
        <v/>
      </c>
      <c r="AA75" s="444">
        <f>R75*F75</f>
        <v/>
      </c>
      <c r="AB75" s="270">
        <f>R75*E75</f>
        <v/>
      </c>
      <c r="AC75" s="444">
        <f>S75*F75</f>
        <v/>
      </c>
      <c r="AD75" s="270">
        <f>S75*E75</f>
        <v/>
      </c>
      <c r="AE75" s="444">
        <f>T75*F75</f>
        <v/>
      </c>
      <c r="AF75" s="270">
        <f>T75*E75</f>
        <v/>
      </c>
      <c r="AG75" s="443">
        <f>R75*0.25*K75</f>
        <v/>
      </c>
      <c r="AH75" s="283">
        <f>K75*R75</f>
        <v/>
      </c>
      <c r="AI75" s="443">
        <f>S75*0.25*$K75</f>
        <v/>
      </c>
      <c r="AJ75" s="443">
        <f>S75*K75</f>
        <v/>
      </c>
      <c r="AK75" s="443">
        <f>T75*0.25*$K75</f>
        <v/>
      </c>
      <c r="AL75" s="443">
        <f>K75*T75</f>
        <v/>
      </c>
      <c r="AM75" s="443">
        <f>0.25</f>
        <v/>
      </c>
      <c r="AN75" s="288">
        <f>R75*I75*AM75*0.25</f>
        <v/>
      </c>
      <c r="AO75" s="288">
        <f>R75*I75*AM75</f>
        <v/>
      </c>
      <c r="AP75" s="288">
        <f>S75*I75*AM75*0.25</f>
        <v/>
      </c>
      <c r="AQ75" s="288">
        <f>S75*I75*AM75</f>
        <v/>
      </c>
      <c r="AR75" s="288">
        <f>T75*I75*AM75*0.25</f>
        <v/>
      </c>
      <c r="AS75" s="288">
        <f>T75*I75*AM75</f>
        <v/>
      </c>
      <c r="AT75" s="444">
        <f>1/5</f>
        <v/>
      </c>
      <c r="AU75" s="444">
        <f>0.25</f>
        <v/>
      </c>
      <c r="AV75" s="288">
        <f>R75*AT75*AU75*0.25</f>
        <v/>
      </c>
      <c r="AW75" s="288">
        <f>R75*AT75*AU75</f>
        <v/>
      </c>
      <c r="AX75" s="288">
        <f>S75*AT75*AU75*0.25</f>
        <v/>
      </c>
      <c r="AY75" s="288">
        <f>S75*AT75*AU75</f>
        <v/>
      </c>
      <c r="AZ75" s="288">
        <f>T75*AT75*AU75*0.25</f>
        <v/>
      </c>
      <c r="BA75" s="288">
        <f>T75*AT75*AU75</f>
        <v/>
      </c>
      <c r="BB75" s="288">
        <f>R75*K75*0.2</f>
        <v/>
      </c>
      <c r="BC75" s="288">
        <f>R75*K75</f>
        <v/>
      </c>
      <c r="BD75" s="274">
        <f>S75*K75*0.2</f>
        <v/>
      </c>
      <c r="BE75" s="288">
        <f>S75*K75</f>
        <v/>
      </c>
      <c r="BF75" s="288">
        <f>T75*K75*0.2</f>
        <v/>
      </c>
      <c r="BG75" s="308">
        <f>T75*K75</f>
        <v/>
      </c>
      <c r="BH75" s="308">
        <f>R75*K75*0.2</f>
        <v/>
      </c>
      <c r="BI75" s="308">
        <f>R75*K75</f>
        <v/>
      </c>
      <c r="BJ75" s="308">
        <f>S75*K75*0.2</f>
        <v/>
      </c>
      <c r="BK75" s="308">
        <f>S75*K75</f>
        <v/>
      </c>
      <c r="BL75" s="308">
        <f>T75*K75*0.2</f>
        <v/>
      </c>
      <c r="BM75" s="311">
        <f>T75*K75</f>
        <v/>
      </c>
      <c r="BN75" s="311">
        <f>R75*K75*0.2</f>
        <v/>
      </c>
      <c r="BO75" s="311">
        <f>K75*R75</f>
        <v/>
      </c>
      <c r="BP75" s="311">
        <f>S75*K75*0.2</f>
        <v/>
      </c>
      <c r="BQ75" s="311">
        <f>K75*S75</f>
        <v/>
      </c>
      <c r="BR75" s="311">
        <f>K75*T75*0.2</f>
        <v/>
      </c>
      <c r="BS75" s="270">
        <f>K75*T75</f>
        <v/>
      </c>
      <c r="BT75" s="444">
        <f>R75*K75*0.4</f>
        <v/>
      </c>
      <c r="BU75" s="444">
        <f>R75*K75</f>
        <v/>
      </c>
      <c r="BV75" s="444">
        <f>S75*K75*0.4</f>
        <v/>
      </c>
      <c r="BW75" s="444">
        <f>S75*K75</f>
        <v/>
      </c>
      <c r="BX75" s="444">
        <f>T75*K75*0.4</f>
        <v/>
      </c>
      <c r="BY75" s="270">
        <f>T75*K75</f>
        <v/>
      </c>
      <c r="BZ75" s="288">
        <f>R75*K75*0</f>
        <v/>
      </c>
      <c r="CA75" s="288">
        <f>R75*K75</f>
        <v/>
      </c>
      <c r="CB75" s="288">
        <f>S75*K75*0</f>
        <v/>
      </c>
      <c r="CC75" s="288">
        <f>S75*K75</f>
        <v/>
      </c>
      <c r="CD75" s="288">
        <f>T75*K75*0</f>
        <v/>
      </c>
      <c r="CE75" s="288">
        <f>T75*K75</f>
        <v/>
      </c>
    </row>
    <row r="76" ht="76.5" customHeight="1" s="452">
      <c r="A76" s="444" t="n">
        <v>73</v>
      </c>
      <c r="B76" s="279" t="inlineStr">
        <is>
          <t>Uluslararası Kalite Standartlarına Uyum</t>
        </is>
      </c>
      <c r="C76" s="279" t="inlineStr">
        <is>
          <t>Standardizasyon: ISO 9001, 14001 gibi belgeler. Süreçlerin sadece yerel değil, küresel standartlarda yönetildiğinin kanıtıdır.</t>
        </is>
      </c>
      <c r="D76" s="444">
        <f>ESG_FO_Makale!$G$20</f>
        <v/>
      </c>
      <c r="E76" s="444" t="n">
        <v>0.03</v>
      </c>
      <c r="F76" s="444">
        <f>D76*E76</f>
        <v/>
      </c>
      <c r="G76" s="444">
        <f>ESG_FO_AnaBlok!$G$20</f>
        <v/>
      </c>
      <c r="H76" s="444">
        <f>FO_AltGruplar!$G$17</f>
        <v/>
      </c>
      <c r="I76" s="444">
        <f>FO_Operasyonel!H18</f>
        <v/>
      </c>
      <c r="J76" s="444">
        <f>G76*H76*I76</f>
        <v/>
      </c>
      <c r="K76" s="444">
        <f>H76*I76</f>
        <v/>
      </c>
      <c r="L76" s="444" t="inlineStr">
        <is>
          <t>İTU ve Kalite Belgelendirme Faaliyetleri devam etmektedir</t>
        </is>
      </c>
      <c r="M76" s="444" t="n">
        <v>3</v>
      </c>
      <c r="N76" s="444" t="inlineStr">
        <is>
          <t>İTU ve Kalite Belgelendirme Faaliyetleri devam etmektedir</t>
        </is>
      </c>
      <c r="O76" s="281" t="n">
        <v>3</v>
      </c>
      <c r="P76" s="444" t="inlineStr">
        <is>
          <t>İTU ve Kalite Belgelendirme Faaliyetleri devam etmektedir</t>
        </is>
      </c>
      <c r="Q76" s="444" t="n">
        <v>3</v>
      </c>
      <c r="R76" s="444">
        <f>100*(M76-1)/4</f>
        <v/>
      </c>
      <c r="S76" s="444">
        <f>100*(O76-1)/4</f>
        <v/>
      </c>
      <c r="T76" s="444">
        <f>100*(Q76-1)/4</f>
        <v/>
      </c>
      <c r="U76" s="444">
        <f>R76*J76</f>
        <v/>
      </c>
      <c r="V76" s="444">
        <f>R76*K76</f>
        <v/>
      </c>
      <c r="W76" s="444">
        <f>S76*$J76</f>
        <v/>
      </c>
      <c r="X76" s="270">
        <f>S76*K76</f>
        <v/>
      </c>
      <c r="Y76" s="444">
        <f>T76*$J76</f>
        <v/>
      </c>
      <c r="Z76" s="270">
        <f>T76*K76</f>
        <v/>
      </c>
      <c r="AA76" s="444">
        <f>R76*F76</f>
        <v/>
      </c>
      <c r="AB76" s="270">
        <f>R76*E76</f>
        <v/>
      </c>
      <c r="AC76" s="444">
        <f>S76*F76</f>
        <v/>
      </c>
      <c r="AD76" s="270">
        <f>S76*E76</f>
        <v/>
      </c>
      <c r="AE76" s="444">
        <f>T76*F76</f>
        <v/>
      </c>
      <c r="AF76" s="270">
        <f>T76*E76</f>
        <v/>
      </c>
      <c r="AG76" s="443">
        <f>R76*0.25*K76</f>
        <v/>
      </c>
      <c r="AH76" s="283">
        <f>K76*R76</f>
        <v/>
      </c>
      <c r="AI76" s="443">
        <f>S76*0.25*$K76</f>
        <v/>
      </c>
      <c r="AJ76" s="443">
        <f>S76*K76</f>
        <v/>
      </c>
      <c r="AK76" s="443">
        <f>T76*0.25*$K76</f>
        <v/>
      </c>
      <c r="AL76" s="443">
        <f>K76*T76</f>
        <v/>
      </c>
      <c r="AM76" s="443">
        <f>0.25</f>
        <v/>
      </c>
      <c r="AN76" s="288">
        <f>R76*I76*AM76*0.25</f>
        <v/>
      </c>
      <c r="AO76" s="288">
        <f>R76*I76*AM76</f>
        <v/>
      </c>
      <c r="AP76" s="288">
        <f>S76*I76*AM76*0.25</f>
        <v/>
      </c>
      <c r="AQ76" s="288">
        <f>S76*I76*AM76</f>
        <v/>
      </c>
      <c r="AR76" s="288">
        <f>T76*I76*AM76*0.25</f>
        <v/>
      </c>
      <c r="AS76" s="288">
        <f>T76*I76*AM76</f>
        <v/>
      </c>
      <c r="AT76" s="444">
        <f>1/5</f>
        <v/>
      </c>
      <c r="AU76" s="444">
        <f>0.25</f>
        <v/>
      </c>
      <c r="AV76" s="288">
        <f>R76*AT76*AU76*0.25</f>
        <v/>
      </c>
      <c r="AW76" s="288">
        <f>R76*AT76*AU76</f>
        <v/>
      </c>
      <c r="AX76" s="288">
        <f>S76*AT76*AU76*0.25</f>
        <v/>
      </c>
      <c r="AY76" s="288">
        <f>S76*AT76*AU76</f>
        <v/>
      </c>
      <c r="AZ76" s="288">
        <f>T76*AT76*AU76*0.25</f>
        <v/>
      </c>
      <c r="BA76" s="288">
        <f>T76*AT76*AU76</f>
        <v/>
      </c>
      <c r="BB76" s="288">
        <f>R76*K76*0.2</f>
        <v/>
      </c>
      <c r="BC76" s="288">
        <f>R76*K76</f>
        <v/>
      </c>
      <c r="BD76" s="274">
        <f>S76*K76*0.2</f>
        <v/>
      </c>
      <c r="BE76" s="288">
        <f>S76*K76</f>
        <v/>
      </c>
      <c r="BF76" s="288">
        <f>T76*K76*0.2</f>
        <v/>
      </c>
      <c r="BG76" s="308">
        <f>T76*K76</f>
        <v/>
      </c>
      <c r="BH76" s="308">
        <f>R76*K76*0.2</f>
        <v/>
      </c>
      <c r="BI76" s="308">
        <f>R76*K76</f>
        <v/>
      </c>
      <c r="BJ76" s="308">
        <f>S76*K76*0.2</f>
        <v/>
      </c>
      <c r="BK76" s="308">
        <f>S76*K76</f>
        <v/>
      </c>
      <c r="BL76" s="308">
        <f>T76*K76*0.2</f>
        <v/>
      </c>
      <c r="BM76" s="311">
        <f>T76*K76</f>
        <v/>
      </c>
      <c r="BN76" s="311">
        <f>R76*K76*0.2</f>
        <v/>
      </c>
      <c r="BO76" s="311">
        <f>K76*R76</f>
        <v/>
      </c>
      <c r="BP76" s="311">
        <f>S76*K76*0.2</f>
        <v/>
      </c>
      <c r="BQ76" s="311">
        <f>K76*S76</f>
        <v/>
      </c>
      <c r="BR76" s="311">
        <f>K76*T76*0.2</f>
        <v/>
      </c>
      <c r="BS76" s="270">
        <f>K76*T76</f>
        <v/>
      </c>
      <c r="BT76" s="444">
        <f>R76*K76*0.4</f>
        <v/>
      </c>
      <c r="BU76" s="444">
        <f>R76*K76</f>
        <v/>
      </c>
      <c r="BV76" s="444">
        <f>S76*K76*0.4</f>
        <v/>
      </c>
      <c r="BW76" s="444">
        <f>S76*K76</f>
        <v/>
      </c>
      <c r="BX76" s="444">
        <f>T76*K76*0.4</f>
        <v/>
      </c>
      <c r="BY76" s="270">
        <f>T76*K76</f>
        <v/>
      </c>
      <c r="BZ76" s="288">
        <f>R76*K76*0</f>
        <v/>
      </c>
      <c r="CA76" s="288">
        <f>R76*K76</f>
        <v/>
      </c>
      <c r="CB76" s="288">
        <f>S76*K76*0</f>
        <v/>
      </c>
      <c r="CC76" s="288">
        <f>S76*K76</f>
        <v/>
      </c>
      <c r="CD76" s="288">
        <f>T76*K76*0</f>
        <v/>
      </c>
      <c r="CE76" s="288">
        <f>T76*K76</f>
        <v/>
      </c>
    </row>
    <row r="77" ht="90" customHeight="1" s="452">
      <c r="A77" s="444" t="n">
        <v>74</v>
      </c>
      <c r="B77" s="279" t="inlineStr">
        <is>
          <t>Üretimde Teknoloji Kullanımı</t>
        </is>
      </c>
      <c r="C77" s="279" t="inlineStr">
        <is>
          <t>Modernizasyon Gücü: Akıllı tarım, GPS'li traktörler ve hassas sulama sistemlerinin varlığı. Verimliliğin en büyük teknolojik kaldıracıdır.</t>
        </is>
      </c>
      <c r="D77" s="444">
        <f>ESG_FO_Makale!$G$20</f>
        <v/>
      </c>
      <c r="E77" s="444" t="n">
        <v>0.05</v>
      </c>
      <c r="F77" s="444">
        <f>D77*E77</f>
        <v/>
      </c>
      <c r="G77" s="444">
        <f>ESG_FO_AnaBlok!$G$20</f>
        <v/>
      </c>
      <c r="H77" s="444">
        <f>FO_AltGruplar!$G$17</f>
        <v/>
      </c>
      <c r="I77" s="444">
        <f>FO_Operasyonel!H19</f>
        <v/>
      </c>
      <c r="J77" s="444">
        <f>G77*H77*I77</f>
        <v/>
      </c>
      <c r="K77" s="444">
        <f>H77*I77</f>
        <v/>
      </c>
      <c r="L77" s="444" t="inlineStr">
        <is>
          <t xml:space="preserve">Bölge ve ülke koşullarına öncülük edecek teknolojik üretim altyapısı yanı sıra geleneksel üretim teknolojileri de bulunmaktadır. </t>
        </is>
      </c>
      <c r="M77" s="444" t="n">
        <v>4</v>
      </c>
      <c r="N77" s="444" t="inlineStr">
        <is>
          <t>Makine parkı, kullanım süresi, kapasite ve bakım kayıtlarının bulunması yüksek bir varlık yönetimi kapasitesine işaret etmektedir.</t>
        </is>
      </c>
      <c r="O77" s="281" t="n">
        <v>4</v>
      </c>
      <c r="P77" s="444" t="inlineStr">
        <is>
          <t>Makine parkı, kullanım süresi, kapasite ve bakım kayıtlarının bulunması yüksek bir varlık yönetimi kapasitesine işaret etmektedir.</t>
        </is>
      </c>
      <c r="Q77" s="444" t="n">
        <v>4</v>
      </c>
      <c r="R77" s="444">
        <f>100*(M77-1)/4</f>
        <v/>
      </c>
      <c r="S77" s="444">
        <f>100*(O77-1)/4</f>
        <v/>
      </c>
      <c r="T77" s="444">
        <f>100*(Q77-1)/4</f>
        <v/>
      </c>
      <c r="U77" s="444">
        <f>R77*J77</f>
        <v/>
      </c>
      <c r="V77" s="444">
        <f>R77*K77</f>
        <v/>
      </c>
      <c r="W77" s="444">
        <f>S77*$J77</f>
        <v/>
      </c>
      <c r="X77" s="270">
        <f>S77*K77</f>
        <v/>
      </c>
      <c r="Y77" s="444">
        <f>T77*$J77</f>
        <v/>
      </c>
      <c r="Z77" s="270">
        <f>T77*K77</f>
        <v/>
      </c>
      <c r="AA77" s="444">
        <f>R77*F77</f>
        <v/>
      </c>
      <c r="AB77" s="270">
        <f>R77*E77</f>
        <v/>
      </c>
      <c r="AC77" s="444">
        <f>S77*F77</f>
        <v/>
      </c>
      <c r="AD77" s="270">
        <f>S77*E77</f>
        <v/>
      </c>
      <c r="AE77" s="444">
        <f>T77*F77</f>
        <v/>
      </c>
      <c r="AF77" s="270">
        <f>T77*E77</f>
        <v/>
      </c>
      <c r="AG77" s="443">
        <f>R77*0.25*K77</f>
        <v/>
      </c>
      <c r="AH77" s="283">
        <f>K77*R77</f>
        <v/>
      </c>
      <c r="AI77" s="443">
        <f>S77*0.25*$K77</f>
        <v/>
      </c>
      <c r="AJ77" s="443">
        <f>S77*K77</f>
        <v/>
      </c>
      <c r="AK77" s="443">
        <f>T77*0.25*$K77</f>
        <v/>
      </c>
      <c r="AL77" s="443">
        <f>K77*T77</f>
        <v/>
      </c>
      <c r="AM77" s="443">
        <f>0.25</f>
        <v/>
      </c>
      <c r="AN77" s="288">
        <f>R77*I77*AM77*0.25</f>
        <v/>
      </c>
      <c r="AO77" s="288">
        <f>R77*I77*AM77</f>
        <v/>
      </c>
      <c r="AP77" s="288">
        <f>S77*I77*AM77*0.25</f>
        <v/>
      </c>
      <c r="AQ77" s="288">
        <f>S77*I77*AM77</f>
        <v/>
      </c>
      <c r="AR77" s="288">
        <f>T77*I77*AM77*0.25</f>
        <v/>
      </c>
      <c r="AS77" s="288">
        <f>T77*I77*AM77</f>
        <v/>
      </c>
      <c r="AT77" s="444">
        <f>1/5</f>
        <v/>
      </c>
      <c r="AU77" s="444">
        <f>0.25</f>
        <v/>
      </c>
      <c r="AV77" s="288">
        <f>R77*AT77*AU77*0.25</f>
        <v/>
      </c>
      <c r="AW77" s="288">
        <f>R77*AT77*AU77</f>
        <v/>
      </c>
      <c r="AX77" s="288">
        <f>S77*AT77*AU77*0.25</f>
        <v/>
      </c>
      <c r="AY77" s="288">
        <f>S77*AT77*AU77</f>
        <v/>
      </c>
      <c r="AZ77" s="288">
        <f>T77*AT77*AU77*0.25</f>
        <v/>
      </c>
      <c r="BA77" s="288">
        <f>T77*AT77*AU77</f>
        <v/>
      </c>
      <c r="BB77" s="288">
        <f>R77*K77*0.2</f>
        <v/>
      </c>
      <c r="BC77" s="288">
        <f>R77*K77</f>
        <v/>
      </c>
      <c r="BD77" s="274">
        <f>S77*K77*0.2</f>
        <v/>
      </c>
      <c r="BE77" s="288">
        <f>S77*K77</f>
        <v/>
      </c>
      <c r="BF77" s="288">
        <f>T77*K77*0.2</f>
        <v/>
      </c>
      <c r="BG77" s="308">
        <f>T77*K77</f>
        <v/>
      </c>
      <c r="BH77" s="308">
        <f>R77*K77*0.2</f>
        <v/>
      </c>
      <c r="BI77" s="308">
        <f>R77*K77</f>
        <v/>
      </c>
      <c r="BJ77" s="308">
        <f>S77*K77*0.2</f>
        <v/>
      </c>
      <c r="BK77" s="308">
        <f>S77*K77</f>
        <v/>
      </c>
      <c r="BL77" s="308">
        <f>T77*K77*0.2</f>
        <v/>
      </c>
      <c r="BM77" s="311">
        <f>T77*K77</f>
        <v/>
      </c>
      <c r="BN77" s="311">
        <f>R77*K77*0.2</f>
        <v/>
      </c>
      <c r="BO77" s="311">
        <f>K77*R77</f>
        <v/>
      </c>
      <c r="BP77" s="311">
        <f>S77*K77*0.2</f>
        <v/>
      </c>
      <c r="BQ77" s="311">
        <f>K77*S77</f>
        <v/>
      </c>
      <c r="BR77" s="311">
        <f>K77*T77*0.2</f>
        <v/>
      </c>
      <c r="BS77" s="270">
        <f>K77*T77</f>
        <v/>
      </c>
      <c r="BT77" s="444">
        <f>R77*K77*0.4</f>
        <v/>
      </c>
      <c r="BU77" s="444">
        <f>R77*K77</f>
        <v/>
      </c>
      <c r="BV77" s="444">
        <f>S77*K77*0.4</f>
        <v/>
      </c>
      <c r="BW77" s="444">
        <f>S77*K77</f>
        <v/>
      </c>
      <c r="BX77" s="444">
        <f>T77*K77*0.4</f>
        <v/>
      </c>
      <c r="BY77" s="270">
        <f>T77*K77</f>
        <v/>
      </c>
      <c r="BZ77" s="288">
        <f>R77*K77*0</f>
        <v/>
      </c>
      <c r="CA77" s="288">
        <f>R77*K77</f>
        <v/>
      </c>
      <c r="CB77" s="288">
        <f>S77*K77*0</f>
        <v/>
      </c>
      <c r="CC77" s="288">
        <f>S77*K77</f>
        <v/>
      </c>
      <c r="CD77" s="288">
        <f>T77*K77*0</f>
        <v/>
      </c>
      <c r="CE77" s="288">
        <f>T77*K77</f>
        <v/>
      </c>
    </row>
    <row r="78" ht="89.25" customHeight="1" s="452">
      <c r="A78" s="444" t="n">
        <v>75</v>
      </c>
      <c r="B78" s="279" t="inlineStr">
        <is>
          <t>Verilerin Bilgi Teknolojileri ile takibi</t>
        </is>
      </c>
      <c r="C78" s="279" t="inlineStr">
        <is>
          <t>Veri Güvenilirliği: Denetimin temelidir. Elle tutulan kayıt yerine dijital (ERP/Bulut) takibi, verinin doğrulanabilirliğini ve şeffaflığını garanti eder.</t>
        </is>
      </c>
      <c r="D78" s="444">
        <f>ESG_FO_Makale!$G$20</f>
        <v/>
      </c>
      <c r="E78" s="444" t="n">
        <v>0.05</v>
      </c>
      <c r="F78" s="444">
        <f>D78*E78</f>
        <v/>
      </c>
      <c r="G78" s="444">
        <f>ESG_FO_AnaBlok!$G$20</f>
        <v/>
      </c>
      <c r="H78" s="444">
        <f>FO_AltGruplar!$G$17</f>
        <v/>
      </c>
      <c r="I78" s="444">
        <f>FO_Operasyonel!H20</f>
        <v/>
      </c>
      <c r="J78" s="444">
        <f>G78*H78*I78</f>
        <v/>
      </c>
      <c r="K78" s="444">
        <f>H78*I78</f>
        <v/>
      </c>
      <c r="L78" s="444" t="inlineStr">
        <is>
          <t>Teknolojik takip sitemleri uygulamaları kullanılmaktadır; yeni proje ve hızlı altyapı adaptasyonu önerilmektedir.</t>
        </is>
      </c>
      <c r="M78" s="444" t="n">
        <v>4</v>
      </c>
      <c r="N78" s="444" t="inlineStr">
        <is>
          <t>Teknolojik takip sitemleri uygulamaları kullanılmaktadır; yeni proje ve hızlı altyapı adaptasyonu önerilmektedir.</t>
        </is>
      </c>
      <c r="O78" s="281" t="n">
        <v>4</v>
      </c>
      <c r="P78" s="444" t="inlineStr">
        <is>
          <t>Teknolojik takip sitemleri uygulamaları kullanılmaktadır; yeni proje ve hızlı altyapı adaptasyonu önerilmektedir.</t>
        </is>
      </c>
      <c r="Q78" s="444" t="n">
        <v>4</v>
      </c>
      <c r="R78" s="444">
        <f>100*(M78-1)/4</f>
        <v/>
      </c>
      <c r="S78" s="444">
        <f>100*(O78-1)/4</f>
        <v/>
      </c>
      <c r="T78" s="444">
        <f>100*(Q78-1)/4</f>
        <v/>
      </c>
      <c r="U78" s="444">
        <f>R78*J78</f>
        <v/>
      </c>
      <c r="V78" s="444">
        <f>R78*K78</f>
        <v/>
      </c>
      <c r="W78" s="444">
        <f>S78*$J78</f>
        <v/>
      </c>
      <c r="X78" s="270">
        <f>S78*K78</f>
        <v/>
      </c>
      <c r="Y78" s="444">
        <f>T78*$J78</f>
        <v/>
      </c>
      <c r="Z78" s="270">
        <f>T78*K78</f>
        <v/>
      </c>
      <c r="AA78" s="444">
        <f>R78*F78</f>
        <v/>
      </c>
      <c r="AB78" s="270">
        <f>R78*E78</f>
        <v/>
      </c>
      <c r="AC78" s="444">
        <f>S78*F78</f>
        <v/>
      </c>
      <c r="AD78" s="270">
        <f>S78*E78</f>
        <v/>
      </c>
      <c r="AE78" s="444">
        <f>T78*F78</f>
        <v/>
      </c>
      <c r="AF78" s="270">
        <f>T78*E78</f>
        <v/>
      </c>
      <c r="AG78" s="443">
        <f>R78*0.25*K78</f>
        <v/>
      </c>
      <c r="AH78" s="283">
        <f>K78*R78</f>
        <v/>
      </c>
      <c r="AI78" s="443">
        <f>S78*0.25*$K78</f>
        <v/>
      </c>
      <c r="AJ78" s="443">
        <f>S78*K78</f>
        <v/>
      </c>
      <c r="AK78" s="443">
        <f>T78*0.25*$K78</f>
        <v/>
      </c>
      <c r="AL78" s="443">
        <f>K78*T78</f>
        <v/>
      </c>
      <c r="AM78" s="443">
        <f>0.25</f>
        <v/>
      </c>
      <c r="AN78" s="288">
        <f>R78*I78*AM78*0.25</f>
        <v/>
      </c>
      <c r="AO78" s="288">
        <f>R78*I78*AM78</f>
        <v/>
      </c>
      <c r="AP78" s="288">
        <f>S78*I78*AM78*0.25</f>
        <v/>
      </c>
      <c r="AQ78" s="288">
        <f>S78*I78*AM78</f>
        <v/>
      </c>
      <c r="AR78" s="288">
        <f>T78*I78*AM78*0.25</f>
        <v/>
      </c>
      <c r="AS78" s="288">
        <f>T78*I78*AM78</f>
        <v/>
      </c>
      <c r="AT78" s="444">
        <f>1/5</f>
        <v/>
      </c>
      <c r="AU78" s="444">
        <f>0.25</f>
        <v/>
      </c>
      <c r="AV78" s="288">
        <f>R78*AT78*AU78*0.25</f>
        <v/>
      </c>
      <c r="AW78" s="288">
        <f>R78*AT78*AU78</f>
        <v/>
      </c>
      <c r="AX78" s="288">
        <f>S78*AT78*AU78*0.25</f>
        <v/>
      </c>
      <c r="AY78" s="288">
        <f>S78*AT78*AU78</f>
        <v/>
      </c>
      <c r="AZ78" s="288">
        <f>T78*AT78*AU78*0.25</f>
        <v/>
      </c>
      <c r="BA78" s="288">
        <f>T78*AT78*AU78</f>
        <v/>
      </c>
      <c r="BB78" s="288">
        <f>R78*K78*0.2</f>
        <v/>
      </c>
      <c r="BC78" s="288">
        <f>R78*K78</f>
        <v/>
      </c>
      <c r="BD78" s="274">
        <f>S78*K78*0.2</f>
        <v/>
      </c>
      <c r="BE78" s="288">
        <f>S78*K78</f>
        <v/>
      </c>
      <c r="BF78" s="288">
        <f>T78*K78*0.2</f>
        <v/>
      </c>
      <c r="BG78" s="308">
        <f>T78*K78</f>
        <v/>
      </c>
      <c r="BH78" s="308">
        <f>R78*K78*0.2</f>
        <v/>
      </c>
      <c r="BI78" s="308">
        <f>R78*K78</f>
        <v/>
      </c>
      <c r="BJ78" s="308">
        <f>S78*K78*0.2</f>
        <v/>
      </c>
      <c r="BK78" s="308">
        <f>S78*K78</f>
        <v/>
      </c>
      <c r="BL78" s="308">
        <f>T78*K78*0.2</f>
        <v/>
      </c>
      <c r="BM78" s="311">
        <f>T78*K78</f>
        <v/>
      </c>
      <c r="BN78" s="311">
        <f>R78*K78*0.2</f>
        <v/>
      </c>
      <c r="BO78" s="311">
        <f>K78*R78</f>
        <v/>
      </c>
      <c r="BP78" s="311">
        <f>S78*K78*0.2</f>
        <v/>
      </c>
      <c r="BQ78" s="311">
        <f>K78*S78</f>
        <v/>
      </c>
      <c r="BR78" s="311">
        <f>K78*T78*0.2</f>
        <v/>
      </c>
      <c r="BS78" s="270">
        <f>K78*T78</f>
        <v/>
      </c>
      <c r="BT78" s="444">
        <f>R78*K78*0.4</f>
        <v/>
      </c>
      <c r="BU78" s="444">
        <f>R78*K78</f>
        <v/>
      </c>
      <c r="BV78" s="444">
        <f>S78*K78*0.4</f>
        <v/>
      </c>
      <c r="BW78" s="444">
        <f>S78*K78</f>
        <v/>
      </c>
      <c r="BX78" s="444">
        <f>T78*K78*0.4</f>
        <v/>
      </c>
      <c r="BY78" s="270">
        <f>T78*K78</f>
        <v/>
      </c>
      <c r="BZ78" s="288">
        <f>R78*K78*0</f>
        <v/>
      </c>
      <c r="CA78" s="288">
        <f>R78*K78</f>
        <v/>
      </c>
      <c r="CB78" s="288">
        <f>S78*K78*0</f>
        <v/>
      </c>
      <c r="CC78" s="288">
        <f>S78*K78</f>
        <v/>
      </c>
      <c r="CD78" s="288">
        <f>T78*K78*0</f>
        <v/>
      </c>
      <c r="CE78" s="288">
        <f>T78*K78</f>
        <v/>
      </c>
    </row>
    <row r="79" ht="89.25" customHeight="1" s="452">
      <c r="A79" s="444" t="n">
        <v>76</v>
      </c>
      <c r="B79" s="279" t="inlineStr">
        <is>
          <t>Makine ve Ekipman Kullanım Oranı</t>
        </is>
      </c>
      <c r="C79" s="279" t="inlineStr">
        <is>
          <t>Kapasite Verimliliği: Atıl makine parkının önlenmesi. Mevcut varlıkların ne kadar efektif kullanıldığını ve bakım-onarım başarısını gösterir.</t>
        </is>
      </c>
      <c r="D79" s="444">
        <f>ESG_FO_Makale!$G$20</f>
        <v/>
      </c>
      <c r="E79" s="444" t="n">
        <v>0.04000000000000001</v>
      </c>
      <c r="F79" s="444">
        <f>D79*E79</f>
        <v/>
      </c>
      <c r="G79" s="444">
        <f>ESG_FO_AnaBlok!$G$20</f>
        <v/>
      </c>
      <c r="H79" s="444">
        <f>FO_AltGruplar!$G$17</f>
        <v/>
      </c>
      <c r="I79" s="444">
        <f>FO_Operasyonel!H21</f>
        <v/>
      </c>
      <c r="J79" s="444">
        <f>G79*H79*I79</f>
        <v/>
      </c>
      <c r="K79" s="444">
        <f>H79*I79</f>
        <v/>
      </c>
      <c r="L79" s="444" t="inlineStr">
        <is>
          <t>Makine ve ekipman kullanımı yüksek kapasite ile devam etmekte; makine ekipman bakım onarım işlemleri yürütülmektedir.</t>
        </is>
      </c>
      <c r="M79" s="444" t="n">
        <v>5</v>
      </c>
      <c r="N79" s="444" t="inlineStr">
        <is>
          <t>Makine ve ekipman kullanımı yüksek kapasite ile devam etmekte; makine ekipman bakım onarım işlemleri yürütülmektedir.</t>
        </is>
      </c>
      <c r="O79" s="281" t="n">
        <v>5</v>
      </c>
      <c r="P79" s="444" t="inlineStr">
        <is>
          <t>Makine ve ekipman kullanımı yüksek kapasite ile devam etmekte; makine ekipman bakım onarım işlemleri yürütülmektedir.</t>
        </is>
      </c>
      <c r="Q79" s="444" t="n">
        <v>5</v>
      </c>
      <c r="R79" s="444">
        <f>100*(M79-1)/4</f>
        <v/>
      </c>
      <c r="S79" s="444">
        <f>100*(O79-1)/4</f>
        <v/>
      </c>
      <c r="T79" s="444">
        <f>100*(Q79-1)/4</f>
        <v/>
      </c>
      <c r="U79" s="444">
        <f>R79*J79</f>
        <v/>
      </c>
      <c r="V79" s="444">
        <f>R79*K79</f>
        <v/>
      </c>
      <c r="W79" s="444">
        <f>S79*$J79</f>
        <v/>
      </c>
      <c r="X79" s="270">
        <f>S79*K79</f>
        <v/>
      </c>
      <c r="Y79" s="444">
        <f>T79*$J79</f>
        <v/>
      </c>
      <c r="Z79" s="270">
        <f>T79*K79</f>
        <v/>
      </c>
      <c r="AA79" s="444">
        <f>R79*F79</f>
        <v/>
      </c>
      <c r="AB79" s="270">
        <f>R79*E79</f>
        <v/>
      </c>
      <c r="AC79" s="444">
        <f>S79*F79</f>
        <v/>
      </c>
      <c r="AD79" s="270">
        <f>S79*E79</f>
        <v/>
      </c>
      <c r="AE79" s="444">
        <f>T79*F79</f>
        <v/>
      </c>
      <c r="AF79" s="270">
        <f>T79*E79</f>
        <v/>
      </c>
      <c r="AG79" s="443">
        <f>R79*0.25*K79</f>
        <v/>
      </c>
      <c r="AH79" s="283">
        <f>K79*R79</f>
        <v/>
      </c>
      <c r="AI79" s="443">
        <f>S79*0.25*$K79</f>
        <v/>
      </c>
      <c r="AJ79" s="443">
        <f>S79*K79</f>
        <v/>
      </c>
      <c r="AK79" s="443">
        <f>T79*0.25*$K79</f>
        <v/>
      </c>
      <c r="AL79" s="443">
        <f>K79*T79</f>
        <v/>
      </c>
      <c r="AM79" s="443">
        <f>0.25</f>
        <v/>
      </c>
      <c r="AN79" s="288">
        <f>R79*I79*AM79*0.25</f>
        <v/>
      </c>
      <c r="AO79" s="288">
        <f>R79*I79*AM79</f>
        <v/>
      </c>
      <c r="AP79" s="288">
        <f>S79*I79*AM79*0.25</f>
        <v/>
      </c>
      <c r="AQ79" s="288">
        <f>S79*I79*AM79</f>
        <v/>
      </c>
      <c r="AR79" s="288">
        <f>T79*I79*AM79*0.25</f>
        <v/>
      </c>
      <c r="AS79" s="288">
        <f>T79*I79*AM79</f>
        <v/>
      </c>
      <c r="AT79" s="444">
        <f>1/5</f>
        <v/>
      </c>
      <c r="AU79" s="444">
        <f>0.25</f>
        <v/>
      </c>
      <c r="AV79" s="288">
        <f>R79*AT79*AU79*0.25</f>
        <v/>
      </c>
      <c r="AW79" s="288">
        <f>R79*AT79*AU79</f>
        <v/>
      </c>
      <c r="AX79" s="288">
        <f>S79*AT79*AU79*0.25</f>
        <v/>
      </c>
      <c r="AY79" s="288">
        <f>S79*AT79*AU79</f>
        <v/>
      </c>
      <c r="AZ79" s="288">
        <f>T79*AT79*AU79*0.25</f>
        <v/>
      </c>
      <c r="BA79" s="288">
        <f>T79*AT79*AU79</f>
        <v/>
      </c>
      <c r="BB79" s="288">
        <f>R79*K79*0.2</f>
        <v/>
      </c>
      <c r="BC79" s="288">
        <f>R79*K79</f>
        <v/>
      </c>
      <c r="BD79" s="274">
        <f>S79*K79*0.2</f>
        <v/>
      </c>
      <c r="BE79" s="288">
        <f>S79*K79</f>
        <v/>
      </c>
      <c r="BF79" s="288">
        <f>T79*K79*0.2</f>
        <v/>
      </c>
      <c r="BG79" s="308">
        <f>T79*K79</f>
        <v/>
      </c>
      <c r="BH79" s="308">
        <f>R79*K79*0.2</f>
        <v/>
      </c>
      <c r="BI79" s="308">
        <f>R79*K79</f>
        <v/>
      </c>
      <c r="BJ79" s="308">
        <f>S79*K79*0.2</f>
        <v/>
      </c>
      <c r="BK79" s="308">
        <f>S79*K79</f>
        <v/>
      </c>
      <c r="BL79" s="308">
        <f>T79*K79*0.2</f>
        <v/>
      </c>
      <c r="BM79" s="311">
        <f>T79*K79</f>
        <v/>
      </c>
      <c r="BN79" s="311">
        <f>R79*K79*0.2</f>
        <v/>
      </c>
      <c r="BO79" s="311">
        <f>K79*R79</f>
        <v/>
      </c>
      <c r="BP79" s="311">
        <f>S79*K79*0.2</f>
        <v/>
      </c>
      <c r="BQ79" s="311">
        <f>K79*S79</f>
        <v/>
      </c>
      <c r="BR79" s="311">
        <f>K79*T79*0.2</f>
        <v/>
      </c>
      <c r="BS79" s="270">
        <f>K79*T79</f>
        <v/>
      </c>
      <c r="BT79" s="444">
        <f>R79*K79*0.4</f>
        <v/>
      </c>
      <c r="BU79" s="444">
        <f>R79*K79</f>
        <v/>
      </c>
      <c r="BV79" s="444">
        <f>S79*K79*0.4</f>
        <v/>
      </c>
      <c r="BW79" s="444">
        <f>S79*K79</f>
        <v/>
      </c>
      <c r="BX79" s="444">
        <f>T79*K79*0.4</f>
        <v/>
      </c>
      <c r="BY79" s="270">
        <f>T79*K79</f>
        <v/>
      </c>
      <c r="BZ79" s="288">
        <f>R79*K79*0</f>
        <v/>
      </c>
      <c r="CA79" s="288">
        <f>R79*K79</f>
        <v/>
      </c>
      <c r="CB79" s="288">
        <f>S79*K79*0</f>
        <v/>
      </c>
      <c r="CC79" s="288">
        <f>S79*K79</f>
        <v/>
      </c>
      <c r="CD79" s="288">
        <f>T79*K79*0</f>
        <v/>
      </c>
      <c r="CE79" s="288">
        <f>T79*K79</f>
        <v/>
      </c>
    </row>
    <row r="80" ht="105" customHeight="1" s="452">
      <c r="A80" s="444" t="n">
        <v>77</v>
      </c>
      <c r="B80" s="279" t="inlineStr">
        <is>
          <t>Üretim Performansı ve Döl Verimi Çıkarımları</t>
        </is>
      </c>
      <c r="C80" s="279" t="inlineStr">
        <is>
          <t>Üretim İzleme: Teknik kayıtların tutulma kalitesi ve döl verimindeki istikrarın analitik takibidir.</t>
        </is>
      </c>
      <c r="D80" s="444">
        <f>ESG_FO_Makale!$G$20</f>
        <v/>
      </c>
      <c r="E80" s="444" t="n">
        <v>0.025</v>
      </c>
      <c r="F80" s="444">
        <f>D80*E80</f>
        <v/>
      </c>
      <c r="G80" s="444">
        <f>ESG_FO_AnaBlok!$G$20</f>
        <v/>
      </c>
      <c r="H80" s="444">
        <f>FO_AltGruplar!$G$18</f>
        <v/>
      </c>
      <c r="I80" s="444">
        <f>FO_Hayvancilik!K20</f>
        <v/>
      </c>
      <c r="J80" s="444">
        <f>G80*H80*I80</f>
        <v/>
      </c>
      <c r="K80" s="444">
        <f>H80*I80</f>
        <v/>
      </c>
      <c r="L80" s="444" t="inlineStr">
        <is>
          <t>Koyunculukta yaklaşık %122, keçicilikte %130 ve sığırcılıkta %90 doğum oranları üretim kayıtlarının izlendiğini göstermektedir.</t>
        </is>
      </c>
      <c r="M80" s="444" t="n">
        <v>4</v>
      </c>
      <c r="N80" s="444" t="inlineStr">
        <is>
          <t>Sığrcılıkta %99 gibi teorik limitlerde bir doğum oranı yakalamış olsa da, küçükbaş ve atçılık gibi farklı kolların toplam verimlilik ortalamasındaki varyasyonu nedeniyle Gözlü'nün bir adım gerisindedir.</t>
        </is>
      </c>
      <c r="O80" s="281" t="n">
        <v>4</v>
      </c>
      <c r="P80" s="444" t="inlineStr">
        <is>
          <t>Sığırcılıkta yaklaşık %95,1 doğum oranı ve koyunculukta yaklaşık %129 kuzu doğum oranı yüksek üretim sonuçları olarak değerlendirilmiştir.</t>
        </is>
      </c>
      <c r="Q80" s="444" t="n">
        <v>5</v>
      </c>
      <c r="R80" s="444">
        <f>100*(M80-1)/4</f>
        <v/>
      </c>
      <c r="S80" s="444">
        <f>100*(O80-1)/4</f>
        <v/>
      </c>
      <c r="T80" s="444">
        <f>100*(Q80-1)/4</f>
        <v/>
      </c>
      <c r="U80" s="444">
        <f>R80*J80</f>
        <v/>
      </c>
      <c r="V80" s="444">
        <f>R80*K80</f>
        <v/>
      </c>
      <c r="W80" s="444">
        <f>S80*$J80</f>
        <v/>
      </c>
      <c r="X80" s="270">
        <f>S80*K80</f>
        <v/>
      </c>
      <c r="Y80" s="444">
        <f>T80*$J80</f>
        <v/>
      </c>
      <c r="Z80" s="270">
        <f>T80*K80</f>
        <v/>
      </c>
      <c r="AA80" s="444">
        <f>R80*F80</f>
        <v/>
      </c>
      <c r="AB80" s="270">
        <f>R80*E80</f>
        <v/>
      </c>
      <c r="AC80" s="444">
        <f>S80*F80</f>
        <v/>
      </c>
      <c r="AD80" s="270">
        <f>S80*E80</f>
        <v/>
      </c>
      <c r="AE80" s="444">
        <f>T80*F80</f>
        <v/>
      </c>
      <c r="AF80" s="270">
        <f>T80*E80</f>
        <v/>
      </c>
      <c r="AG80" s="443">
        <f>R80*0.25*K80</f>
        <v/>
      </c>
      <c r="AH80" s="283">
        <f>K80*R80</f>
        <v/>
      </c>
      <c r="AI80" s="443">
        <f>S80*0.25*$K80</f>
        <v/>
      </c>
      <c r="AJ80" s="443">
        <f>S80*K80</f>
        <v/>
      </c>
      <c r="AK80" s="443">
        <f>T80*0.25*$K80</f>
        <v/>
      </c>
      <c r="AL80" s="443">
        <f>K80*T80</f>
        <v/>
      </c>
      <c r="AM80" s="443">
        <f>0.25</f>
        <v/>
      </c>
      <c r="AN80" s="288">
        <f>R80*I80*AM80*0.25</f>
        <v/>
      </c>
      <c r="AO80" s="288">
        <f>R80*I80*AM80</f>
        <v/>
      </c>
      <c r="AP80" s="288">
        <f>S80*I80*AM80*0.25</f>
        <v/>
      </c>
      <c r="AQ80" s="288">
        <f>S80*I80*AM80</f>
        <v/>
      </c>
      <c r="AR80" s="288">
        <f>T80*I80*AM80*0.25</f>
        <v/>
      </c>
      <c r="AS80" s="288">
        <f>T80*I80*AM80</f>
        <v/>
      </c>
      <c r="AT80" s="444">
        <f>1/8</f>
        <v/>
      </c>
      <c r="AU80" s="444">
        <f>0.25</f>
        <v/>
      </c>
      <c r="AV80" s="288">
        <f>R80*AT80*AU80*0.25</f>
        <v/>
      </c>
      <c r="AW80" s="288">
        <f>R80*AT80*AU80</f>
        <v/>
      </c>
      <c r="AX80" s="288">
        <f>S80*AT80*AU80*0.25</f>
        <v/>
      </c>
      <c r="AY80" s="288">
        <f>S80*AT80*AU80</f>
        <v/>
      </c>
      <c r="AZ80" s="288">
        <f>T80*AT80*AU80*0.25</f>
        <v/>
      </c>
      <c r="BA80" s="288">
        <f>T80*AT80*AU80</f>
        <v/>
      </c>
      <c r="BB80" s="288">
        <f>R80*K80*0.2</f>
        <v/>
      </c>
      <c r="BC80" s="288">
        <f>R80*K80</f>
        <v/>
      </c>
      <c r="BD80" s="274">
        <f>S80*K80*0.2</f>
        <v/>
      </c>
      <c r="BE80" s="288">
        <f>S80*K80</f>
        <v/>
      </c>
      <c r="BF80" s="288">
        <f>T80*K80*0.2</f>
        <v/>
      </c>
      <c r="BG80" s="308">
        <f>T80*K80</f>
        <v/>
      </c>
      <c r="BH80" s="308">
        <f>R80*K80*0.2</f>
        <v/>
      </c>
      <c r="BI80" s="308">
        <f>R80*K80</f>
        <v/>
      </c>
      <c r="BJ80" s="308">
        <f>S80*K80*0.2</f>
        <v/>
      </c>
      <c r="BK80" s="308">
        <f>S80*K80</f>
        <v/>
      </c>
      <c r="BL80" s="308">
        <f>T80*K80*0.2</f>
        <v/>
      </c>
      <c r="BM80" s="311">
        <f>T80*K80</f>
        <v/>
      </c>
      <c r="BN80" s="311">
        <f>R80*K80*0.2</f>
        <v/>
      </c>
      <c r="BO80" s="311">
        <f>K80*R80</f>
        <v/>
      </c>
      <c r="BP80" s="311">
        <f>S80*K80*0.2</f>
        <v/>
      </c>
      <c r="BQ80" s="311">
        <f>K80*S80</f>
        <v/>
      </c>
      <c r="BR80" s="311">
        <f>K80*T80*0.2</f>
        <v/>
      </c>
      <c r="BS80" s="270">
        <f>K80*T80</f>
        <v/>
      </c>
      <c r="BT80" s="444">
        <f>R80*K80*0.4</f>
        <v/>
      </c>
      <c r="BU80" s="444">
        <f>R80*K80</f>
        <v/>
      </c>
      <c r="BV80" s="444">
        <f>S80*K80*0.4</f>
        <v/>
      </c>
      <c r="BW80" s="444">
        <f>S80*K80</f>
        <v/>
      </c>
      <c r="BX80" s="444">
        <f>T80*K80*0.4</f>
        <v/>
      </c>
      <c r="BY80" s="270">
        <f>T80*K80</f>
        <v/>
      </c>
      <c r="BZ80" s="288">
        <f>R80*K80*0</f>
        <v/>
      </c>
      <c r="CA80" s="288">
        <f>R80*K80</f>
        <v/>
      </c>
      <c r="CB80" s="288">
        <f>S80*K80*0</f>
        <v/>
      </c>
      <c r="CC80" s="288">
        <f>S80*K80</f>
        <v/>
      </c>
      <c r="CD80" s="288">
        <f>T80*K80*0</f>
        <v/>
      </c>
      <c r="CE80" s="288">
        <f>T80*K80</f>
        <v/>
      </c>
    </row>
    <row r="81" ht="165" customHeight="1" s="452">
      <c r="A81" s="444" t="n">
        <v>78</v>
      </c>
      <c r="B81" s="279" t="inlineStr">
        <is>
          <t>Besleme ve Girdi Yönetimi Çıkarımları</t>
        </is>
      </c>
      <c r="C81" s="279" t="inlineStr">
        <is>
          <t>Nexus ve Maliyet: Rasyon yönetimi ve yem verimliliği. Bitkisel üretimle olan "yem-gübre" döngüsünün en kritik maliyet ayağıdır.</t>
        </is>
      </c>
      <c r="D81" s="444">
        <f>ESG_FO_Makale!$G$20</f>
        <v/>
      </c>
      <c r="E81" s="444" t="n">
        <v>0.03</v>
      </c>
      <c r="F81" s="444">
        <f>D81*E81</f>
        <v/>
      </c>
      <c r="G81" s="444">
        <f>ESG_FO_AnaBlok!$G$20</f>
        <v/>
      </c>
      <c r="H81" s="444">
        <f>FO_AltGruplar!$G$18</f>
        <v/>
      </c>
      <c r="I81" s="444">
        <f>FO_Hayvancilik!K21</f>
        <v/>
      </c>
      <c r="J81" s="444">
        <f>G81*H81*I81</f>
        <v/>
      </c>
      <c r="K81" s="444">
        <f>H81*I81</f>
        <v/>
      </c>
      <c r="L81" s="444" t="inlineStr">
        <is>
          <t xml:space="preserve"> 33 bin tona yakın kesif yem kullanımında; fresh sığır, kuru dönem, başlangıç ve büyütme yemleri gibi çok katmanlı bir rasyon yönetimi izlenmektedir.  Küçükbaş birimine ayrılan payın %55 olduğu bilgisi mera-yem kullanım yapısını açıklar. Bu, iyi yem verimliliği yönetimi olarak değerlendirilmiştir.</t>
        </is>
      </c>
      <c r="M81" s="444" t="n">
        <v>4</v>
      </c>
      <c r="N81" s="444" t="inlineStr">
        <is>
          <t xml:space="preserve">Sığır ve safkan Arap atları için farklı rasyonların kullanılması, tür ve faaliyet bazında teknik besleme ihtiyacının dikkate alındığını göstermektedir. </t>
        </is>
      </c>
      <c r="O81" s="281" t="n">
        <v>4</v>
      </c>
      <c r="P81" s="444" t="inlineStr">
        <is>
          <t>İşletme bünyesinde Kurum bünyesinde yer alan diğer işletmelerin de rasyon ihtiyacını karşılayan yem fabrikası mevcut;%37'lik mera kullanımıyla ve işletmeler arasında en yüksek süt verimi (24,5 kg)  göstermesi rasyon dengesine katkı sağlıyor şeklinde değerlendirilmiştir.</t>
        </is>
      </c>
      <c r="Q81" s="444" t="n">
        <v>5</v>
      </c>
      <c r="R81" s="444">
        <f>100*(M81-1)/4</f>
        <v/>
      </c>
      <c r="S81" s="444">
        <f>100*(O81-1)/4</f>
        <v/>
      </c>
      <c r="T81" s="444">
        <f>100*(Q81-1)/4</f>
        <v/>
      </c>
      <c r="U81" s="444">
        <f>R81*J81</f>
        <v/>
      </c>
      <c r="V81" s="444">
        <f>R81*K81</f>
        <v/>
      </c>
      <c r="W81" s="444">
        <f>S81*$J81</f>
        <v/>
      </c>
      <c r="X81" s="270">
        <f>S81*K81</f>
        <v/>
      </c>
      <c r="Y81" s="444">
        <f>T81*$J81</f>
        <v/>
      </c>
      <c r="Z81" s="270">
        <f>T81*K81</f>
        <v/>
      </c>
      <c r="AA81" s="444">
        <f>R81*F81</f>
        <v/>
      </c>
      <c r="AB81" s="270">
        <f>R81*E81</f>
        <v/>
      </c>
      <c r="AC81" s="444">
        <f>S81*F81</f>
        <v/>
      </c>
      <c r="AD81" s="270">
        <f>S81*E81</f>
        <v/>
      </c>
      <c r="AE81" s="444">
        <f>T81*F81</f>
        <v/>
      </c>
      <c r="AF81" s="270">
        <f>T81*E81</f>
        <v/>
      </c>
      <c r="AG81" s="443">
        <f>R81*0.25*K81</f>
        <v/>
      </c>
      <c r="AH81" s="283">
        <f>K81*R81</f>
        <v/>
      </c>
      <c r="AI81" s="443">
        <f>S81*0.25*$K81</f>
        <v/>
      </c>
      <c r="AJ81" s="443">
        <f>S81*K81</f>
        <v/>
      </c>
      <c r="AK81" s="443">
        <f>T81*0.25*$K81</f>
        <v/>
      </c>
      <c r="AL81" s="443">
        <f>K81*T81</f>
        <v/>
      </c>
      <c r="AM81" s="443">
        <f>0.25</f>
        <v/>
      </c>
      <c r="AN81" s="288">
        <f>R81*I81*AM81*0.25</f>
        <v/>
      </c>
      <c r="AO81" s="288">
        <f>R81*I81*AM81</f>
        <v/>
      </c>
      <c r="AP81" s="288">
        <f>S81*I81*AM81*0.25</f>
        <v/>
      </c>
      <c r="AQ81" s="288">
        <f>S81*I81*AM81</f>
        <v/>
      </c>
      <c r="AR81" s="288">
        <f>T81*I81*AM81*0.25</f>
        <v/>
      </c>
      <c r="AS81" s="288">
        <f>T81*I81*AM81</f>
        <v/>
      </c>
      <c r="AT81" s="444">
        <f>1/8</f>
        <v/>
      </c>
      <c r="AU81" s="444">
        <f>0.25</f>
        <v/>
      </c>
      <c r="AV81" s="288">
        <f>R81*AT81*AU81*0.25</f>
        <v/>
      </c>
      <c r="AW81" s="288">
        <f>R81*AT81*AU81</f>
        <v/>
      </c>
      <c r="AX81" s="288">
        <f>S81*AT81*AU81*0.25</f>
        <v/>
      </c>
      <c r="AY81" s="288">
        <f>S81*AT81*AU81</f>
        <v/>
      </c>
      <c r="AZ81" s="288">
        <f>T81*AT81*AU81*0.25</f>
        <v/>
      </c>
      <c r="BA81" s="288">
        <f>T81*AT81*AU81</f>
        <v/>
      </c>
      <c r="BB81" s="288">
        <f>R81*K81*0.2</f>
        <v/>
      </c>
      <c r="BC81" s="288">
        <f>R81*K81</f>
        <v/>
      </c>
      <c r="BD81" s="274">
        <f>S81*K81*0.2</f>
        <v/>
      </c>
      <c r="BE81" s="288">
        <f>S81*K81</f>
        <v/>
      </c>
      <c r="BF81" s="288">
        <f>T81*K81*0.2</f>
        <v/>
      </c>
      <c r="BG81" s="308">
        <f>T81*K81</f>
        <v/>
      </c>
      <c r="BH81" s="308">
        <f>R81*K81*0.2</f>
        <v/>
      </c>
      <c r="BI81" s="308">
        <f>R81*K81</f>
        <v/>
      </c>
      <c r="BJ81" s="308">
        <f>S81*K81*0.2</f>
        <v/>
      </c>
      <c r="BK81" s="308">
        <f>S81*K81</f>
        <v/>
      </c>
      <c r="BL81" s="308">
        <f>T81*K81*0.2</f>
        <v/>
      </c>
      <c r="BM81" s="311">
        <f>T81*K81</f>
        <v/>
      </c>
      <c r="BN81" s="311">
        <f>R81*K81*0.2</f>
        <v/>
      </c>
      <c r="BO81" s="311">
        <f>K81*R81</f>
        <v/>
      </c>
      <c r="BP81" s="311">
        <f>S81*K81*0.2</f>
        <v/>
      </c>
      <c r="BQ81" s="311">
        <f>K81*S81</f>
        <v/>
      </c>
      <c r="BR81" s="311">
        <f>K81*T81*0.2</f>
        <v/>
      </c>
      <c r="BS81" s="270">
        <f>K81*T81</f>
        <v/>
      </c>
      <c r="BT81" s="444">
        <f>R81*K81*0.4</f>
        <v/>
      </c>
      <c r="BU81" s="444">
        <f>R81*K81</f>
        <v/>
      </c>
      <c r="BV81" s="444">
        <f>S81*K81*0.4</f>
        <v/>
      </c>
      <c r="BW81" s="444">
        <f>S81*K81</f>
        <v/>
      </c>
      <c r="BX81" s="444">
        <f>T81*K81*0.4</f>
        <v/>
      </c>
      <c r="BY81" s="270">
        <f>T81*K81</f>
        <v/>
      </c>
      <c r="BZ81" s="288">
        <f>R81*K81*0</f>
        <v/>
      </c>
      <c r="CA81" s="288">
        <f>R81*K81</f>
        <v/>
      </c>
      <c r="CB81" s="288">
        <f>S81*K81*0</f>
        <v/>
      </c>
      <c r="CC81" s="288">
        <f>S81*K81</f>
        <v/>
      </c>
      <c r="CD81" s="288">
        <f>T81*K81*0</f>
        <v/>
      </c>
      <c r="CE81" s="288">
        <f>T81*K81</f>
        <v/>
      </c>
    </row>
    <row r="82" ht="240" customHeight="1" s="452">
      <c r="A82" s="444" t="n">
        <v>79</v>
      </c>
      <c r="B82" s="279" t="inlineStr">
        <is>
          <t>Ürün Çeşitliliği ve Yan Ürün Ekonomisi</t>
        </is>
      </c>
      <c r="C82" s="279" t="inlineStr">
        <is>
          <t>Döngüsellik: Gübre, biyokütle veya farklı hayvansal ürünlerin ekonomiye kazandırılmasıyla sağlanan ek katma değerdir.</t>
        </is>
      </c>
      <c r="D82" s="444">
        <f>ESG_FO_Makale!$G$20</f>
        <v/>
      </c>
      <c r="E82" s="444" t="n">
        <v>0.015</v>
      </c>
      <c r="F82" s="444">
        <f>D82*E82</f>
        <v/>
      </c>
      <c r="G82" s="444">
        <f>ESG_FO_AnaBlok!$G$20</f>
        <v/>
      </c>
      <c r="H82" s="444">
        <f>FO_AltGruplar!$G$18</f>
        <v/>
      </c>
      <c r="I82" s="444">
        <f>FO_Hayvancilik!K22</f>
        <v/>
      </c>
      <c r="J82" s="444">
        <f>G82*H82*I82</f>
        <v/>
      </c>
      <c r="K82" s="444">
        <f>H82*I82</f>
        <v/>
      </c>
      <c r="L82" s="444" t="inlineStr">
        <is>
          <t>256 tonluk yapağı hacmiyle tekstil sanayisine katkı sağlamaktadır. Keçicilikteki yüksek sağım oranı (%70) ve tiftik üretimi, işletmenin yüksek kapasite yan ürün yönetimi yaptığı ve biyolojik çıktı israfını minimize ettiği yargısını sağlamıştır. Süt verimi (1,36 kg/gün) ve sağım oranının (%70) yüksekliği, işletmenin süt odaklı ve ekonomik olarak karlı bir alt dal olarak yönetildiği sonucuna varılmıştır.</t>
        </is>
      </c>
      <c r="M82" s="444" t="n">
        <v>5</v>
      </c>
      <c r="N82" s="444" t="inlineStr">
        <is>
          <t>Atçılık ve süt üretimindeki uzmanlaşma, belirli yüksek değerli ürün alanları oluşturmaktadır. Ancak yan ürün hacmi de göz önüne alınarak değerlendirilmiştir.</t>
        </is>
      </c>
      <c r="O82" s="281" t="n">
        <v>3</v>
      </c>
      <c r="P82" s="444" t="inlineStr">
        <is>
          <t>Koyun sütünün tamamının ve sığır sütünün büyük bölümünün satışa aktarıldığı bilgisi, ürün kayıplarının sınırlı olabileceğini göstermektedir.</t>
        </is>
      </c>
      <c r="Q82" s="444" t="n">
        <v>4</v>
      </c>
      <c r="R82" s="444">
        <f>100*(M82-1)/4</f>
        <v/>
      </c>
      <c r="S82" s="444">
        <f>100*(O82-1)/4</f>
        <v/>
      </c>
      <c r="T82" s="444">
        <f>100*(Q82-1)/4</f>
        <v/>
      </c>
      <c r="U82" s="444">
        <f>R82*J82</f>
        <v/>
      </c>
      <c r="V82" s="444">
        <f>R82*K82</f>
        <v/>
      </c>
      <c r="W82" s="444">
        <f>S82*$J82</f>
        <v/>
      </c>
      <c r="X82" s="270">
        <f>S82*K82</f>
        <v/>
      </c>
      <c r="Y82" s="444">
        <f>T82*$J82</f>
        <v/>
      </c>
      <c r="Z82" s="270">
        <f>T82*K82</f>
        <v/>
      </c>
      <c r="AA82" s="444">
        <f>R82*F82</f>
        <v/>
      </c>
      <c r="AB82" s="270">
        <f>R82*E82</f>
        <v/>
      </c>
      <c r="AC82" s="444">
        <f>S82*F82</f>
        <v/>
      </c>
      <c r="AD82" s="270">
        <f>S82*E82</f>
        <v/>
      </c>
      <c r="AE82" s="444">
        <f>T82*F82</f>
        <v/>
      </c>
      <c r="AF82" s="270">
        <f>T82*E82</f>
        <v/>
      </c>
      <c r="AG82" s="443">
        <f>R82*0.25*K82</f>
        <v/>
      </c>
      <c r="AH82" s="283">
        <f>K82*R82</f>
        <v/>
      </c>
      <c r="AI82" s="443">
        <f>S82*0.25*$K82</f>
        <v/>
      </c>
      <c r="AJ82" s="443">
        <f>S82*K82</f>
        <v/>
      </c>
      <c r="AK82" s="443">
        <f>T82*0.25*$K82</f>
        <v/>
      </c>
      <c r="AL82" s="443">
        <f>K82*T82</f>
        <v/>
      </c>
      <c r="AM82" s="443">
        <f>0.25</f>
        <v/>
      </c>
      <c r="AN82" s="288">
        <f>R82*I82*AM82*0.25</f>
        <v/>
      </c>
      <c r="AO82" s="288">
        <f>R82*I82*AM82</f>
        <v/>
      </c>
      <c r="AP82" s="288">
        <f>S82*I82*AM82*0.25</f>
        <v/>
      </c>
      <c r="AQ82" s="288">
        <f>S82*I82*AM82</f>
        <v/>
      </c>
      <c r="AR82" s="288">
        <f>T82*I82*AM82*0.25</f>
        <v/>
      </c>
      <c r="AS82" s="288">
        <f>T82*I82*AM82</f>
        <v/>
      </c>
      <c r="AT82" s="444">
        <f>1/8</f>
        <v/>
      </c>
      <c r="AU82" s="444">
        <f>0.25</f>
        <v/>
      </c>
      <c r="AV82" s="288">
        <f>R82*AT82*AU82*0.25</f>
        <v/>
      </c>
      <c r="AW82" s="288">
        <f>R82*AT82*AU82</f>
        <v/>
      </c>
      <c r="AX82" s="288">
        <f>S82*AT82*AU82*0.25</f>
        <v/>
      </c>
      <c r="AY82" s="288">
        <f>S82*AT82*AU82</f>
        <v/>
      </c>
      <c r="AZ82" s="288">
        <f>T82*AT82*AU82*0.25</f>
        <v/>
      </c>
      <c r="BA82" s="288">
        <f>T82*AT82*AU82</f>
        <v/>
      </c>
      <c r="BB82" s="288">
        <f>R82*K82*0.2</f>
        <v/>
      </c>
      <c r="BC82" s="288">
        <f>R82*K82</f>
        <v/>
      </c>
      <c r="BD82" s="274">
        <f>S82*K82*0.2</f>
        <v/>
      </c>
      <c r="BE82" s="288">
        <f>S82*K82</f>
        <v/>
      </c>
      <c r="BF82" s="288">
        <f>T82*K82*0.2</f>
        <v/>
      </c>
      <c r="BG82" s="308">
        <f>T82*K82</f>
        <v/>
      </c>
      <c r="BH82" s="308">
        <f>R82*K82*0.2</f>
        <v/>
      </c>
      <c r="BI82" s="308">
        <f>R82*K82</f>
        <v/>
      </c>
      <c r="BJ82" s="308">
        <f>S82*K82*0.2</f>
        <v/>
      </c>
      <c r="BK82" s="308">
        <f>S82*K82</f>
        <v/>
      </c>
      <c r="BL82" s="308">
        <f>T82*K82*0.2</f>
        <v/>
      </c>
      <c r="BM82" s="311">
        <f>T82*K82</f>
        <v/>
      </c>
      <c r="BN82" s="311">
        <f>R82*K82*0.2</f>
        <v/>
      </c>
      <c r="BO82" s="311">
        <f>K82*R82</f>
        <v/>
      </c>
      <c r="BP82" s="311">
        <f>S82*K82*0.2</f>
        <v/>
      </c>
      <c r="BQ82" s="311">
        <f>K82*S82</f>
        <v/>
      </c>
      <c r="BR82" s="311">
        <f>K82*T82*0.2</f>
        <v/>
      </c>
      <c r="BS82" s="270">
        <f>K82*T82</f>
        <v/>
      </c>
      <c r="BT82" s="444">
        <f>R82*K82*0.4</f>
        <v/>
      </c>
      <c r="BU82" s="444">
        <f>R82*K82</f>
        <v/>
      </c>
      <c r="BV82" s="444">
        <f>S82*K82*0.4</f>
        <v/>
      </c>
      <c r="BW82" s="444">
        <f>S82*K82</f>
        <v/>
      </c>
      <c r="BX82" s="444">
        <f>T82*K82*0.4</f>
        <v/>
      </c>
      <c r="BY82" s="270">
        <f>T82*K82</f>
        <v/>
      </c>
      <c r="BZ82" s="288">
        <f>R82*K82*0</f>
        <v/>
      </c>
      <c r="CA82" s="288">
        <f>R82*K82</f>
        <v/>
      </c>
      <c r="CB82" s="288">
        <f>S82*K82*0</f>
        <v/>
      </c>
      <c r="CC82" s="288">
        <f>S82*K82</f>
        <v/>
      </c>
      <c r="CD82" s="288">
        <f>T82*K82*0</f>
        <v/>
      </c>
      <c r="CE82" s="288">
        <f>T82*K82</f>
        <v/>
      </c>
    </row>
    <row r="83" ht="105" customHeight="1" s="452">
      <c r="A83" s="444" t="n">
        <v>80</v>
      </c>
      <c r="B83" s="279" t="inlineStr">
        <is>
          <t>Birim Hayvan Başına Üretim Performansı</t>
        </is>
      </c>
      <c r="C83" s="279" t="inlineStr">
        <is>
          <t>Verimlilik: Hayvan başına alınan süt veya et miktarı. Kaynakların (su/enerji) ne kadar efektif ürüne dönüştüğünü gösterir.</t>
        </is>
      </c>
      <c r="D83" s="444">
        <f>ESG_FO_Makale!$G$20</f>
        <v/>
      </c>
      <c r="E83" s="444" t="n">
        <v>0.03</v>
      </c>
      <c r="F83" s="444">
        <f>D83*E83</f>
        <v/>
      </c>
      <c r="G83" s="444">
        <f>ESG_FO_AnaBlok!$G$20</f>
        <v/>
      </c>
      <c r="H83" s="444">
        <f>FO_AltGruplar!$G$18</f>
        <v/>
      </c>
      <c r="I83" s="444">
        <f>FO_Hayvancilik!K23</f>
        <v/>
      </c>
      <c r="J83" s="444">
        <f>G83*H83*I83</f>
        <v/>
      </c>
      <c r="K83" s="444">
        <f>H83*I83</f>
        <v/>
      </c>
      <c r="L83" s="444" t="inlineStr">
        <is>
          <t>Büyük sürü ölçeğine rağmen günlük yaklaşık 20,82 kg sağmal veriminin korunması olumlu bir hayvan başına üretim göstergesidir.</t>
        </is>
      </c>
      <c r="M83" s="444" t="n">
        <v>4</v>
      </c>
      <c r="N83" s="274" t="inlineStr">
        <is>
          <t>Hayvan başına üretim performansının kabul edilebilir düzeyde olduğu, ancak işletmeler arası teknik verim karşılaştırmasında Gözlü’nün gerisinde kaldığı değerlendirilmiştir.</t>
        </is>
      </c>
      <c r="O83" s="281" t="n">
        <v>4</v>
      </c>
      <c r="P83" s="444" t="inlineStr">
        <is>
          <t>Günlük 24,51 kg süt verimi ile işletmeler arasında  en verimli performansa sahiptir.</t>
        </is>
      </c>
      <c r="Q83" s="444" t="n">
        <v>5</v>
      </c>
      <c r="R83" s="444">
        <f>100*(M83-1)/4</f>
        <v/>
      </c>
      <c r="S83" s="444">
        <f>100*(O83-1)/4</f>
        <v/>
      </c>
      <c r="T83" s="444">
        <f>100*(Q83-1)/4</f>
        <v/>
      </c>
      <c r="U83" s="444">
        <f>R83*J83</f>
        <v/>
      </c>
      <c r="V83" s="444">
        <f>R83*K83</f>
        <v/>
      </c>
      <c r="W83" s="444">
        <f>S83*$J83</f>
        <v/>
      </c>
      <c r="X83" s="270">
        <f>S83*K83</f>
        <v/>
      </c>
      <c r="Y83" s="444">
        <f>T83*$J83</f>
        <v/>
      </c>
      <c r="Z83" s="270">
        <f>T83*K83</f>
        <v/>
      </c>
      <c r="AA83" s="444">
        <f>R83*F83</f>
        <v/>
      </c>
      <c r="AB83" s="270">
        <f>R83*E83</f>
        <v/>
      </c>
      <c r="AC83" s="444">
        <f>S83*F83</f>
        <v/>
      </c>
      <c r="AD83" s="270">
        <f>S83*E83</f>
        <v/>
      </c>
      <c r="AE83" s="444">
        <f>T83*F83</f>
        <v/>
      </c>
      <c r="AF83" s="270">
        <f>T83*E83</f>
        <v/>
      </c>
      <c r="AG83" s="443">
        <f>R83*0.25*K83</f>
        <v/>
      </c>
      <c r="AH83" s="283">
        <f>K83*R83</f>
        <v/>
      </c>
      <c r="AI83" s="443">
        <f>S83*0.25*$K83</f>
        <v/>
      </c>
      <c r="AJ83" s="443">
        <f>S83*K83</f>
        <v/>
      </c>
      <c r="AK83" s="443">
        <f>T83*0.25*$K83</f>
        <v/>
      </c>
      <c r="AL83" s="443">
        <f>K83*T83</f>
        <v/>
      </c>
      <c r="AM83" s="443">
        <f>0.25</f>
        <v/>
      </c>
      <c r="AN83" s="288">
        <f>R83*I83*AM83*0.25</f>
        <v/>
      </c>
      <c r="AO83" s="288">
        <f>R83*I83*AM83</f>
        <v/>
      </c>
      <c r="AP83" s="288">
        <f>S83*I83*AM83*0.25</f>
        <v/>
      </c>
      <c r="AQ83" s="288">
        <f>S83*I83*AM83</f>
        <v/>
      </c>
      <c r="AR83" s="288">
        <f>T83*I83*AM83*0.25</f>
        <v/>
      </c>
      <c r="AS83" s="288">
        <f>T83*I83*AM83</f>
        <v/>
      </c>
      <c r="AT83" s="444">
        <f>1/8</f>
        <v/>
      </c>
      <c r="AU83" s="444">
        <f>0.25</f>
        <v/>
      </c>
      <c r="AV83" s="288">
        <f>R83*AT83*AU83*0.25</f>
        <v/>
      </c>
      <c r="AW83" s="288">
        <f>R83*AT83*AU83</f>
        <v/>
      </c>
      <c r="AX83" s="288">
        <f>S83*AT83*AU83*0.25</f>
        <v/>
      </c>
      <c r="AY83" s="288">
        <f>S83*AT83*AU83</f>
        <v/>
      </c>
      <c r="AZ83" s="288">
        <f>T83*AT83*AU83*0.25</f>
        <v/>
      </c>
      <c r="BA83" s="288">
        <f>T83*AT83*AU83</f>
        <v/>
      </c>
      <c r="BB83" s="288">
        <f>R83*K83*0.2</f>
        <v/>
      </c>
      <c r="BC83" s="288">
        <f>R83*K83</f>
        <v/>
      </c>
      <c r="BD83" s="274">
        <f>S83*K83*0.2</f>
        <v/>
      </c>
      <c r="BE83" s="288">
        <f>S83*K83</f>
        <v/>
      </c>
      <c r="BF83" s="288">
        <f>T83*K83*0.2</f>
        <v/>
      </c>
      <c r="BG83" s="308">
        <f>T83*K83</f>
        <v/>
      </c>
      <c r="BH83" s="308">
        <f>R83*K83*0.2</f>
        <v/>
      </c>
      <c r="BI83" s="308">
        <f>R83*K83</f>
        <v/>
      </c>
      <c r="BJ83" s="308">
        <f>S83*K83*0.2</f>
        <v/>
      </c>
      <c r="BK83" s="308">
        <f>S83*K83</f>
        <v/>
      </c>
      <c r="BL83" s="308">
        <f>T83*K83*0.2</f>
        <v/>
      </c>
      <c r="BM83" s="311">
        <f>T83*K83</f>
        <v/>
      </c>
      <c r="BN83" s="311">
        <f>R83*K83*0.2</f>
        <v/>
      </c>
      <c r="BO83" s="311">
        <f>K83*R83</f>
        <v/>
      </c>
      <c r="BP83" s="311">
        <f>S83*K83*0.2</f>
        <v/>
      </c>
      <c r="BQ83" s="311">
        <f>K83*S83</f>
        <v/>
      </c>
      <c r="BR83" s="311">
        <f>K83*T83*0.2</f>
        <v/>
      </c>
      <c r="BS83" s="270">
        <f>K83*T83</f>
        <v/>
      </c>
      <c r="BT83" s="444">
        <f>R83*K83*0.4</f>
        <v/>
      </c>
      <c r="BU83" s="444">
        <f>R83*K83</f>
        <v/>
      </c>
      <c r="BV83" s="444">
        <f>S83*K83*0.4</f>
        <v/>
      </c>
      <c r="BW83" s="444">
        <f>S83*K83</f>
        <v/>
      </c>
      <c r="BX83" s="444">
        <f>T83*K83*0.4</f>
        <v/>
      </c>
      <c r="BY83" s="270">
        <f>T83*K83</f>
        <v/>
      </c>
      <c r="BZ83" s="288">
        <f>R83*K83*0</f>
        <v/>
      </c>
      <c r="CA83" s="288">
        <f>R83*K83</f>
        <v/>
      </c>
      <c r="CB83" s="288">
        <f>S83*K83*0</f>
        <v/>
      </c>
      <c r="CC83" s="288">
        <f>S83*K83</f>
        <v/>
      </c>
      <c r="CD83" s="288">
        <f>T83*K83*0</f>
        <v/>
      </c>
      <c r="CE83" s="288">
        <f>T83*K83</f>
        <v/>
      </c>
    </row>
    <row r="84" ht="135" customHeight="1" s="452">
      <c r="A84" s="444" t="n">
        <v>81</v>
      </c>
      <c r="B84" s="279" t="inlineStr">
        <is>
          <t>Sürü Sağlığı ve Yaşatma Başarısı</t>
        </is>
      </c>
      <c r="C84" s="279" t="inlineStr">
        <is>
          <t>Operasyonel Etik: Hayvan refahının ve işletme devamlılığının en somut verisidir. Düşük ölüm oranları doğrudan verimlilik demektir.</t>
        </is>
      </c>
      <c r="D84" s="444">
        <f>ESG_FO_Makale!$G$20</f>
        <v/>
      </c>
      <c r="E84" s="444" t="n">
        <v>0.0375</v>
      </c>
      <c r="F84" s="444">
        <f>D84*E84</f>
        <v/>
      </c>
      <c r="G84" s="444">
        <f>ESG_FO_AnaBlok!$G$20</f>
        <v/>
      </c>
      <c r="H84" s="444">
        <f>FO_AltGruplar!$G$18</f>
        <v/>
      </c>
      <c r="I84" s="444">
        <f>FO_Hayvancilik!K24</f>
        <v/>
      </c>
      <c r="J84" s="444">
        <f>G84*H84*I84</f>
        <v/>
      </c>
      <c r="K84" s="444">
        <f>H84*I84</f>
        <v/>
      </c>
      <c r="L84" s="444" t="inlineStr">
        <is>
          <t xml:space="preserve">"Düşük Mortalite (Ölüm) Oranları: Buzağılarda %3,5, kuzularda ise %4,9 seviyesindeki ölüm oranları, "Hayvan Refahı"kriterlerine göre yüksek performansa işaret ettiği değerlendirilmiştir; </t>
        </is>
      </c>
      <c r="M84" s="444" t="n">
        <v>4</v>
      </c>
      <c r="N84" s="444" t="inlineStr">
        <is>
          <t>Sığırcılıkta %9,2 ölüm oranı, sürü sağlığı yönetiminde ciddi bir risk ve iyileştirme alanı olduğunu gösterir.</t>
        </is>
      </c>
      <c r="O84" s="281" t="n">
        <v>3</v>
      </c>
      <c r="P84" s="444" t="inlineStr">
        <is>
          <t>1.819 doğan buzağıdan 37’sinin öldüğü ve ölüm oranının yaklaşık %2,03 olduğu bildirilmiştir. Koyunlarda 23.523 doğuma karşılık 704 ölüm bilgisi yaklaşık %2,99 oranına karşılık gelmektedir. Bu değerler düşük kayıp oranı şeklinde değerlendirilmiştir.</t>
        </is>
      </c>
      <c r="Q84" s="444" t="n">
        <v>5</v>
      </c>
      <c r="R84" s="444">
        <f>100*(M84-1)/4</f>
        <v/>
      </c>
      <c r="S84" s="444">
        <f>100*(O84-1)/4</f>
        <v/>
      </c>
      <c r="T84" s="444">
        <f>100*(Q84-1)/4</f>
        <v/>
      </c>
      <c r="U84" s="444">
        <f>R84*J84</f>
        <v/>
      </c>
      <c r="V84" s="444">
        <f>R84*K84</f>
        <v/>
      </c>
      <c r="W84" s="444">
        <f>S84*$J84</f>
        <v/>
      </c>
      <c r="X84" s="270">
        <f>S84*K84</f>
        <v/>
      </c>
      <c r="Y84" s="444">
        <f>T84*$J84</f>
        <v/>
      </c>
      <c r="Z84" s="270">
        <f>T84*K84</f>
        <v/>
      </c>
      <c r="AA84" s="444">
        <f>R84*F84</f>
        <v/>
      </c>
      <c r="AB84" s="270">
        <f>R84*E84</f>
        <v/>
      </c>
      <c r="AC84" s="444">
        <f>S84*F84</f>
        <v/>
      </c>
      <c r="AD84" s="270">
        <f>S84*E84</f>
        <v/>
      </c>
      <c r="AE84" s="444">
        <f>T84*F84</f>
        <v/>
      </c>
      <c r="AF84" s="270">
        <f>T84*E84</f>
        <v/>
      </c>
      <c r="AG84" s="443">
        <f>R84*0.25*K84</f>
        <v/>
      </c>
      <c r="AH84" s="283">
        <f>K84*R84</f>
        <v/>
      </c>
      <c r="AI84" s="443">
        <f>S84*0.25*$K84</f>
        <v/>
      </c>
      <c r="AJ84" s="443">
        <f>S84*K84</f>
        <v/>
      </c>
      <c r="AK84" s="443">
        <f>T84*0.25*$K84</f>
        <v/>
      </c>
      <c r="AL84" s="443">
        <f>K84*T84</f>
        <v/>
      </c>
      <c r="AM84" s="443">
        <f>0.25</f>
        <v/>
      </c>
      <c r="AN84" s="288">
        <f>R84*I84*AM84*0.25</f>
        <v/>
      </c>
      <c r="AO84" s="288">
        <f>R84*I84*AM84</f>
        <v/>
      </c>
      <c r="AP84" s="288">
        <f>S84*I84*AM84*0.25</f>
        <v/>
      </c>
      <c r="AQ84" s="288">
        <f>S84*I84*AM84</f>
        <v/>
      </c>
      <c r="AR84" s="288">
        <f>T84*I84*AM84*0.25</f>
        <v/>
      </c>
      <c r="AS84" s="288">
        <f>T84*I84*AM84</f>
        <v/>
      </c>
      <c r="AT84" s="444">
        <f>1/8</f>
        <v/>
      </c>
      <c r="AU84" s="444">
        <f>0.25</f>
        <v/>
      </c>
      <c r="AV84" s="288">
        <f>R84*AT84*AU84*0.25</f>
        <v/>
      </c>
      <c r="AW84" s="288">
        <f>R84*AT84*AU84</f>
        <v/>
      </c>
      <c r="AX84" s="288">
        <f>S84*AT84*AU84*0.25</f>
        <v/>
      </c>
      <c r="AY84" s="288">
        <f>S84*AT84*AU84</f>
        <v/>
      </c>
      <c r="AZ84" s="288">
        <f>T84*AT84*AU84*0.25</f>
        <v/>
      </c>
      <c r="BA84" s="288">
        <f>T84*AT84*AU84</f>
        <v/>
      </c>
      <c r="BB84" s="288">
        <f>R84*K84*0.2</f>
        <v/>
      </c>
      <c r="BC84" s="288">
        <f>R84*K84</f>
        <v/>
      </c>
      <c r="BD84" s="274">
        <f>S84*K84*0.2</f>
        <v/>
      </c>
      <c r="BE84" s="288">
        <f>S84*K84</f>
        <v/>
      </c>
      <c r="BF84" s="288">
        <f>T84*K84*0.2</f>
        <v/>
      </c>
      <c r="BG84" s="308">
        <f>T84*K84</f>
        <v/>
      </c>
      <c r="BH84" s="308">
        <f>R84*K84*0.2</f>
        <v/>
      </c>
      <c r="BI84" s="308">
        <f>R84*K84</f>
        <v/>
      </c>
      <c r="BJ84" s="308">
        <f>S84*K84*0.2</f>
        <v/>
      </c>
      <c r="BK84" s="308">
        <f>S84*K84</f>
        <v/>
      </c>
      <c r="BL84" s="308">
        <f>T84*K84*0.2</f>
        <v/>
      </c>
      <c r="BM84" s="311">
        <f>T84*K84</f>
        <v/>
      </c>
      <c r="BN84" s="311">
        <f>R84*K84*0.2</f>
        <v/>
      </c>
      <c r="BO84" s="311">
        <f>K84*R84</f>
        <v/>
      </c>
      <c r="BP84" s="311">
        <f>S84*K84*0.2</f>
        <v/>
      </c>
      <c r="BQ84" s="311">
        <f>K84*S84</f>
        <v/>
      </c>
      <c r="BR84" s="311">
        <f>K84*T84*0.2</f>
        <v/>
      </c>
      <c r="BS84" s="270">
        <f>K84*T84</f>
        <v/>
      </c>
      <c r="BT84" s="444">
        <f>R84*K84*0.4</f>
        <v/>
      </c>
      <c r="BU84" s="444">
        <f>R84*K84</f>
        <v/>
      </c>
      <c r="BV84" s="444">
        <f>S84*K84*0.4</f>
        <v/>
      </c>
      <c r="BW84" s="444">
        <f>S84*K84</f>
        <v/>
      </c>
      <c r="BX84" s="444">
        <f>T84*K84*0.4</f>
        <v/>
      </c>
      <c r="BY84" s="270">
        <f>T84*K84</f>
        <v/>
      </c>
      <c r="BZ84" s="288">
        <f>R84*K84*0</f>
        <v/>
      </c>
      <c r="CA84" s="288">
        <f>R84*K84</f>
        <v/>
      </c>
      <c r="CB84" s="288">
        <f>S84*K84*0</f>
        <v/>
      </c>
      <c r="CC84" s="288">
        <f>S84*K84</f>
        <v/>
      </c>
      <c r="CD84" s="288">
        <f>T84*K84*0</f>
        <v/>
      </c>
      <c r="CE84" s="288">
        <f>T84*K84</f>
        <v/>
      </c>
    </row>
    <row r="85" ht="76.5" customHeight="1" s="452">
      <c r="A85" s="444" t="n">
        <v>82</v>
      </c>
      <c r="B85" s="279" t="inlineStr">
        <is>
          <t>Genetik Çoğaltım ve Döl Verimi Verimliliği</t>
        </is>
      </c>
      <c r="C85" s="279" t="inlineStr">
        <is>
          <t>Islah Başarısı: İşletmenin kendi sürüsünü ve dışarıya satacağı damızlık kalitesini iyileştirme gücünü ölçer.</t>
        </is>
      </c>
      <c r="D85" s="444">
        <f>ESG_FO_Makale!$G$20</f>
        <v/>
      </c>
      <c r="E85" s="444" t="n">
        <v>0.0375</v>
      </c>
      <c r="F85" s="444">
        <f>D85*E85</f>
        <v/>
      </c>
      <c r="G85" s="444">
        <f>ESG_FO_AnaBlok!$G$20</f>
        <v/>
      </c>
      <c r="H85" s="444">
        <f>FO_AltGruplar!$G$18</f>
        <v/>
      </c>
      <c r="I85" s="444">
        <f>FO_Hayvancilik!K25</f>
        <v/>
      </c>
      <c r="J85" s="444">
        <f>G85*H85*I85</f>
        <v/>
      </c>
      <c r="K85" s="444">
        <f>H85*I85</f>
        <v/>
      </c>
      <c r="L85" s="444" t="inlineStr">
        <is>
          <t xml:space="preserve">Yaklaşık %122 kuzu doğum oranı ve damızlık üretimi, genetik çoğaltım faaliyetinin sürdürüldüğünü göstermektedir. </t>
        </is>
      </c>
      <c r="M85" s="444" t="n">
        <v>4</v>
      </c>
      <c r="N85" s="444" t="inlineStr">
        <is>
          <t>%99,7 buzağılama oranı ile biyolojik kapasiteyi iyi kullandığı değerlendirmesi yapılmıştır.</t>
        </is>
      </c>
      <c r="O85" s="281" t="n">
        <v>5</v>
      </c>
      <c r="P85" s="444" t="inlineStr">
        <is>
          <t>Sığırlarda yaklaşık %95, kuzularda %129 döl verimi bildirimi olumlu bir genetik ve sürü yönetimi performansı şeklinde değerlendirilmiştir.</t>
        </is>
      </c>
      <c r="Q85" s="444" t="n">
        <v>5</v>
      </c>
      <c r="R85" s="444">
        <f>100*(M85-1)/4</f>
        <v/>
      </c>
      <c r="S85" s="444">
        <f>100*(O85-1)/4</f>
        <v/>
      </c>
      <c r="T85" s="444">
        <f>100*(Q85-1)/4</f>
        <v/>
      </c>
      <c r="U85" s="444">
        <f>R85*J85</f>
        <v/>
      </c>
      <c r="V85" s="444">
        <f>R85*K85</f>
        <v/>
      </c>
      <c r="W85" s="444">
        <f>S85*$J85</f>
        <v/>
      </c>
      <c r="X85" s="270">
        <f>S85*K85</f>
        <v/>
      </c>
      <c r="Y85" s="444">
        <f>T85*$J85</f>
        <v/>
      </c>
      <c r="Z85" s="270">
        <f>T85*K85</f>
        <v/>
      </c>
      <c r="AA85" s="444">
        <f>R85*F85</f>
        <v/>
      </c>
      <c r="AB85" s="270">
        <f>R85*E85</f>
        <v/>
      </c>
      <c r="AC85" s="444">
        <f>S85*F85</f>
        <v/>
      </c>
      <c r="AD85" s="270">
        <f>S85*E85</f>
        <v/>
      </c>
      <c r="AE85" s="444">
        <f>T85*F85</f>
        <v/>
      </c>
      <c r="AF85" s="270">
        <f>T85*E85</f>
        <v/>
      </c>
      <c r="AG85" s="443">
        <f>R85*0.25*K85</f>
        <v/>
      </c>
      <c r="AH85" s="283">
        <f>K85*R85</f>
        <v/>
      </c>
      <c r="AI85" s="443">
        <f>S85*0.25*$K85</f>
        <v/>
      </c>
      <c r="AJ85" s="443">
        <f>S85*K85</f>
        <v/>
      </c>
      <c r="AK85" s="443">
        <f>T85*0.25*$K85</f>
        <v/>
      </c>
      <c r="AL85" s="443">
        <f>K85*T85</f>
        <v/>
      </c>
      <c r="AM85" s="443">
        <f>0.25</f>
        <v/>
      </c>
      <c r="AN85" s="288">
        <f>R85*I85*AM85*0.25</f>
        <v/>
      </c>
      <c r="AO85" s="288">
        <f>R85*I85*AM85</f>
        <v/>
      </c>
      <c r="AP85" s="288">
        <f>S85*I85*AM85*0.25</f>
        <v/>
      </c>
      <c r="AQ85" s="288">
        <f>S85*I85*AM85</f>
        <v/>
      </c>
      <c r="AR85" s="288">
        <f>T85*I85*AM85*0.25</f>
        <v/>
      </c>
      <c r="AS85" s="288">
        <f>T85*I85*AM85</f>
        <v/>
      </c>
      <c r="AT85" s="444">
        <f>1/8</f>
        <v/>
      </c>
      <c r="AU85" s="444">
        <f>0.25</f>
        <v/>
      </c>
      <c r="AV85" s="288">
        <f>R85*AT85*AU85*0.25</f>
        <v/>
      </c>
      <c r="AW85" s="288">
        <f>R85*AT85*AU85</f>
        <v/>
      </c>
      <c r="AX85" s="288">
        <f>S85*AT85*AU85*0.25</f>
        <v/>
      </c>
      <c r="AY85" s="288">
        <f>S85*AT85*AU85</f>
        <v/>
      </c>
      <c r="AZ85" s="288">
        <f>T85*AT85*AU85*0.25</f>
        <v/>
      </c>
      <c r="BA85" s="288">
        <f>T85*AT85*AU85</f>
        <v/>
      </c>
      <c r="BB85" s="288">
        <f>R85*K85*0.2</f>
        <v/>
      </c>
      <c r="BC85" s="288">
        <f>R85*K85</f>
        <v/>
      </c>
      <c r="BD85" s="274">
        <f>S85*K85*0.2</f>
        <v/>
      </c>
      <c r="BE85" s="288">
        <f>S85*K85</f>
        <v/>
      </c>
      <c r="BF85" s="288">
        <f>T85*K85*0.2</f>
        <v/>
      </c>
      <c r="BG85" s="308">
        <f>T85*K85</f>
        <v/>
      </c>
      <c r="BH85" s="308">
        <f>R85*K85*0.2</f>
        <v/>
      </c>
      <c r="BI85" s="308">
        <f>R85*K85</f>
        <v/>
      </c>
      <c r="BJ85" s="308">
        <f>S85*K85*0.2</f>
        <v/>
      </c>
      <c r="BK85" s="308">
        <f>S85*K85</f>
        <v/>
      </c>
      <c r="BL85" s="308">
        <f>T85*K85*0.2</f>
        <v/>
      </c>
      <c r="BM85" s="311">
        <f>T85*K85</f>
        <v/>
      </c>
      <c r="BN85" s="311">
        <f>R85*K85*0.2</f>
        <v/>
      </c>
      <c r="BO85" s="311">
        <f>K85*R85</f>
        <v/>
      </c>
      <c r="BP85" s="311">
        <f>S85*K85*0.2</f>
        <v/>
      </c>
      <c r="BQ85" s="311">
        <f>K85*S85</f>
        <v/>
      </c>
      <c r="BR85" s="311">
        <f>K85*T85*0.2</f>
        <v/>
      </c>
      <c r="BS85" s="270">
        <f>K85*T85</f>
        <v/>
      </c>
      <c r="BT85" s="444">
        <f>R85*K85*0.4</f>
        <v/>
      </c>
      <c r="BU85" s="444">
        <f>R85*K85</f>
        <v/>
      </c>
      <c r="BV85" s="444">
        <f>S85*K85*0.4</f>
        <v/>
      </c>
      <c r="BW85" s="444">
        <f>S85*K85</f>
        <v/>
      </c>
      <c r="BX85" s="444">
        <f>T85*K85*0.4</f>
        <v/>
      </c>
      <c r="BY85" s="270">
        <f>T85*K85</f>
        <v/>
      </c>
      <c r="BZ85" s="288">
        <f>R85*K85*0</f>
        <v/>
      </c>
      <c r="CA85" s="288">
        <f>R85*K85</f>
        <v/>
      </c>
      <c r="CB85" s="288">
        <f>S85*K85*0</f>
        <v/>
      </c>
      <c r="CC85" s="288">
        <f>S85*K85</f>
        <v/>
      </c>
      <c r="CD85" s="288">
        <f>T85*K85*0</f>
        <v/>
      </c>
      <c r="CE85" s="288">
        <f>T85*K85</f>
        <v/>
      </c>
    </row>
    <row r="86" ht="89.25" customHeight="1" s="452">
      <c r="A86" s="444" t="n">
        <v>83</v>
      </c>
      <c r="B86" s="279" t="inlineStr">
        <is>
          <t>Bölgesel Gıda Güvenliği ve Damızlık Arzı</t>
        </is>
      </c>
      <c r="C86" s="279" t="inlineStr">
        <is>
          <t>Temel Misyon: TİGEM'in hayvancılıkta var olma sebebidir. Yerel çiftçiye sağlanan genetik katkı, sosyal ve ekonomik sürdürülebilirliğin zirvesidir.</t>
        </is>
      </c>
      <c r="D86" s="444">
        <f>ESG_FO_Makale!$G$20</f>
        <v/>
      </c>
      <c r="E86" s="444" t="n">
        <v>0.05</v>
      </c>
      <c r="F86" s="444">
        <f>D86*E86</f>
        <v/>
      </c>
      <c r="G86" s="444">
        <f>ESG_FO_AnaBlok!$G$20</f>
        <v/>
      </c>
      <c r="H86" s="444">
        <f>FO_AltGruplar!$G$18</f>
        <v/>
      </c>
      <c r="I86" s="444">
        <f>FO_Hayvancilik!K26</f>
        <v/>
      </c>
      <c r="J86" s="444">
        <f>G86*H86*I86</f>
        <v/>
      </c>
      <c r="K86" s="444">
        <f>H86*I86</f>
        <v/>
      </c>
      <c r="L86" s="444" t="inlineStr">
        <is>
          <t>Yıllık yaklaşık 13.000 baş (9.861 koyun + 2.992 sığır) damızlık satışı yapılmaktadır.</t>
        </is>
      </c>
      <c r="M86" s="444" t="n">
        <v>5</v>
      </c>
      <c r="N86" s="444" t="inlineStr">
        <is>
          <t xml:space="preserve">Atçılık ve sınırlı sığır damızlığı faaliyetleri, işletmenin belirli genetik kaynak ve üretim alanlarında katkı sunduğunu göstermektedir. </t>
        </is>
      </c>
      <c r="O86" s="281" t="n">
        <v>3</v>
      </c>
      <c r="P86" s="444" t="inlineStr">
        <is>
          <t>Hayvancılıkta butik ve verim odaklı yapısı nedeniyle toplam üretim hacminde Ceylanpınar'ın stratejik ağırlığının gerisindedir.</t>
        </is>
      </c>
      <c r="Q86" s="444" t="n">
        <v>3</v>
      </c>
      <c r="R86" s="444">
        <f>100*(M86-1)/4</f>
        <v/>
      </c>
      <c r="S86" s="444">
        <f>100*(O86-1)/4</f>
        <v/>
      </c>
      <c r="T86" s="444">
        <f>100*(Q86-1)/4</f>
        <v/>
      </c>
      <c r="U86" s="444">
        <f>R86*J86</f>
        <v/>
      </c>
      <c r="V86" s="444">
        <f>R86*K86</f>
        <v/>
      </c>
      <c r="W86" s="444">
        <f>S86*$J86</f>
        <v/>
      </c>
      <c r="X86" s="270">
        <f>S86*K86</f>
        <v/>
      </c>
      <c r="Y86" s="444">
        <f>T86*$J86</f>
        <v/>
      </c>
      <c r="Z86" s="270">
        <f>T86*K86</f>
        <v/>
      </c>
      <c r="AA86" s="444">
        <f>R86*F86</f>
        <v/>
      </c>
      <c r="AB86" s="270">
        <f>R86*E86</f>
        <v/>
      </c>
      <c r="AC86" s="444">
        <f>S86*F86</f>
        <v/>
      </c>
      <c r="AD86" s="270">
        <f>S86*E86</f>
        <v/>
      </c>
      <c r="AE86" s="444">
        <f>T86*F86</f>
        <v/>
      </c>
      <c r="AF86" s="270">
        <f>T86*E86</f>
        <v/>
      </c>
      <c r="AG86" s="443">
        <f>R86*0.25*K86</f>
        <v/>
      </c>
      <c r="AH86" s="283">
        <f>K86*R86</f>
        <v/>
      </c>
      <c r="AI86" s="443">
        <f>S86*0.25*$K86</f>
        <v/>
      </c>
      <c r="AJ86" s="443">
        <f>S86*K86</f>
        <v/>
      </c>
      <c r="AK86" s="443">
        <f>T86*0.25*$K86</f>
        <v/>
      </c>
      <c r="AL86" s="443">
        <f>K86*T86</f>
        <v/>
      </c>
      <c r="AM86" s="443">
        <f>0.25</f>
        <v/>
      </c>
      <c r="AN86" s="288">
        <f>R86*I86*AM86*0.25</f>
        <v/>
      </c>
      <c r="AO86" s="288">
        <f>R86*I86*AM86</f>
        <v/>
      </c>
      <c r="AP86" s="288">
        <f>S86*I86*AM86*0.25</f>
        <v/>
      </c>
      <c r="AQ86" s="288">
        <f>S86*I86*AM86</f>
        <v/>
      </c>
      <c r="AR86" s="288">
        <f>T86*I86*AM86*0.25</f>
        <v/>
      </c>
      <c r="AS86" s="288">
        <f>T86*I86*AM86</f>
        <v/>
      </c>
      <c r="AT86" s="444">
        <f>1/8</f>
        <v/>
      </c>
      <c r="AU86" s="444">
        <f>0.25</f>
        <v/>
      </c>
      <c r="AV86" s="288">
        <f>R86*AT86*AU86*0.25</f>
        <v/>
      </c>
      <c r="AW86" s="288">
        <f>R86*AT86*AU86</f>
        <v/>
      </c>
      <c r="AX86" s="288">
        <f>S86*AT86*AU86*0.25</f>
        <v/>
      </c>
      <c r="AY86" s="288">
        <f>S86*AT86*AU86</f>
        <v/>
      </c>
      <c r="AZ86" s="288">
        <f>T86*AT86*AU86*0.25</f>
        <v/>
      </c>
      <c r="BA86" s="288">
        <f>T86*AT86*AU86</f>
        <v/>
      </c>
      <c r="BB86" s="288">
        <f>R86*K86*0.2</f>
        <v/>
      </c>
      <c r="BC86" s="288">
        <f>R86*K86</f>
        <v/>
      </c>
      <c r="BD86" s="274">
        <f>S86*K86*0.2</f>
        <v/>
      </c>
      <c r="BE86" s="288">
        <f>S86*K86</f>
        <v/>
      </c>
      <c r="BF86" s="288">
        <f>T86*K86*0.2</f>
        <v/>
      </c>
      <c r="BG86" s="308">
        <f>T86*K86</f>
        <v/>
      </c>
      <c r="BH86" s="308">
        <f>R86*K86*0.2</f>
        <v/>
      </c>
      <c r="BI86" s="308">
        <f>R86*K86</f>
        <v/>
      </c>
      <c r="BJ86" s="308">
        <f>S86*K86*0.2</f>
        <v/>
      </c>
      <c r="BK86" s="308">
        <f>S86*K86</f>
        <v/>
      </c>
      <c r="BL86" s="308">
        <f>T86*K86*0.2</f>
        <v/>
      </c>
      <c r="BM86" s="311">
        <f>T86*K86</f>
        <v/>
      </c>
      <c r="BN86" s="311">
        <f>R86*K86*0.2</f>
        <v/>
      </c>
      <c r="BO86" s="311">
        <f>K86*R86</f>
        <v/>
      </c>
      <c r="BP86" s="311">
        <f>S86*K86*0.2</f>
        <v/>
      </c>
      <c r="BQ86" s="311">
        <f>K86*S86</f>
        <v/>
      </c>
      <c r="BR86" s="311">
        <f>K86*T86*0.2</f>
        <v/>
      </c>
      <c r="BS86" s="270">
        <f>K86*T86</f>
        <v/>
      </c>
      <c r="BT86" s="444">
        <f>R86*K86*0.4</f>
        <v/>
      </c>
      <c r="BU86" s="444">
        <f>R86*K86</f>
        <v/>
      </c>
      <c r="BV86" s="444">
        <f>S86*K86*0.4</f>
        <v/>
      </c>
      <c r="BW86" s="444">
        <f>S86*K86</f>
        <v/>
      </c>
      <c r="BX86" s="444">
        <f>T86*K86*0.4</f>
        <v/>
      </c>
      <c r="BY86" s="270">
        <f>T86*K86</f>
        <v/>
      </c>
      <c r="BZ86" s="288">
        <f>R86*K86*0</f>
        <v/>
      </c>
      <c r="CA86" s="288">
        <f>R86*K86</f>
        <v/>
      </c>
      <c r="CB86" s="288">
        <f>S86*K86*0</f>
        <v/>
      </c>
      <c r="CC86" s="288">
        <f>S86*K86</f>
        <v/>
      </c>
      <c r="CD86" s="288">
        <f>T86*K86*0</f>
        <v/>
      </c>
      <c r="CE86" s="288">
        <f>T86*K86</f>
        <v/>
      </c>
    </row>
    <row r="87" ht="270" customHeight="1" s="452">
      <c r="A87" s="444" t="n">
        <v>84</v>
      </c>
      <c r="B87" s="279" t="inlineStr">
        <is>
          <t>Çevresel Emisyon Yoğunluğu (Karbon Ayak İzi)</t>
        </is>
      </c>
      <c r="C87" s="279" t="inlineStr">
        <is>
          <t>Çevresel Etki: Hayvancılık kaynaklı metan emisyonu ve atık yönetimi riskidir. Modern ESG raporlamasının vazgeçilmezidir.</t>
        </is>
      </c>
      <c r="D87" s="444">
        <f>ESG_FO_Makale!$G$20</f>
        <v/>
      </c>
      <c r="E87" s="444" t="n">
        <v>0.025</v>
      </c>
      <c r="F87" s="444">
        <f>D87*E87</f>
        <v/>
      </c>
      <c r="G87" s="444">
        <f>ESG_FO_AnaBlok!$G$20</f>
        <v/>
      </c>
      <c r="H87" s="444">
        <f>FO_AltGruplar!$G$18</f>
        <v/>
      </c>
      <c r="I87" s="444">
        <f>FO_Hayvancilik!K27</f>
        <v/>
      </c>
      <c r="J87" s="444">
        <f>G87*H87*I87</f>
        <v/>
      </c>
      <c r="K87" s="444">
        <f>H87*I87</f>
        <v/>
      </c>
      <c r="L87" s="444" t="inlineStr">
        <is>
          <t>1 kg sığır sütü başına hesaplanan 1,18 kg CO₂e değeri; koyun eti üretimi için hesaplanan 375 kg CO₂e/kg et değeri; işletmenin hayvanları önemli ölçüde kesim amacıyla değil, damızlık olarak canlı satması; işletme sınırlarında yer alan biyogaz tesisinin gübre kaynaklı organik materyali enerji üretiminde değerlendirmesi, emisyon azaltımı ve döngüsel kaynak kullanımı bakımından olumlu bir kontrol uygulaması olarak dikkate alınmıştır.</t>
        </is>
      </c>
      <c r="M87" s="444" t="n">
        <v>4</v>
      </c>
      <c r="N87" s="444" t="inlineStr">
        <is>
          <t>Yüksek döl verimi sayesinde "buzağı başına karbon maliyeti" düşüktür, ancak ölüm oranları bu verimliliği bir miktar gölgelemektedir.</t>
        </is>
      </c>
      <c r="O87" s="281" t="n">
        <v>3</v>
      </c>
      <c r="P87" s="444" t="inlineStr">
        <is>
          <t>Yüksek süt verimi ve düşük hayvan kaybı oranı nedeniyle, birim ürün başına emisyonun azalması olumlu değerlendirilmiştir.</t>
        </is>
      </c>
      <c r="Q87" s="444" t="n">
        <v>4</v>
      </c>
      <c r="R87" s="444">
        <f>100*(M87-1)/4</f>
        <v/>
      </c>
      <c r="S87" s="444">
        <f>100*(O87-1)/4</f>
        <v/>
      </c>
      <c r="T87" s="444">
        <f>100*(Q87-1)/4</f>
        <v/>
      </c>
      <c r="U87" s="444">
        <f>R87*J87</f>
        <v/>
      </c>
      <c r="V87" s="444">
        <f>R87*K87</f>
        <v/>
      </c>
      <c r="W87" s="444">
        <f>S87*$J87</f>
        <v/>
      </c>
      <c r="X87" s="270">
        <f>S87*K87</f>
        <v/>
      </c>
      <c r="Y87" s="444">
        <f>T87*$J87</f>
        <v/>
      </c>
      <c r="Z87" s="270">
        <f>T87*K87</f>
        <v/>
      </c>
      <c r="AA87" s="444">
        <f>R87*F87</f>
        <v/>
      </c>
      <c r="AB87" s="270">
        <f>R87*E87</f>
        <v/>
      </c>
      <c r="AC87" s="444">
        <f>S87*F87</f>
        <v/>
      </c>
      <c r="AD87" s="270">
        <f>S87*E87</f>
        <v/>
      </c>
      <c r="AE87" s="444">
        <f>T87*F87</f>
        <v/>
      </c>
      <c r="AF87" s="270">
        <f>T87*E87</f>
        <v/>
      </c>
      <c r="AG87" s="443">
        <f>R87*0.25*K87</f>
        <v/>
      </c>
      <c r="AH87" s="283">
        <f>K87*R87</f>
        <v/>
      </c>
      <c r="AI87" s="443">
        <f>S87*0.25*$K87</f>
        <v/>
      </c>
      <c r="AJ87" s="443">
        <f>S87*K87</f>
        <v/>
      </c>
      <c r="AK87" s="443">
        <f>T87*0.25*$K87</f>
        <v/>
      </c>
      <c r="AL87" s="443">
        <f>K87*T87</f>
        <v/>
      </c>
      <c r="AM87" s="443">
        <f>0.25</f>
        <v/>
      </c>
      <c r="AN87" s="288">
        <f>R87*I87*AM87*0.25</f>
        <v/>
      </c>
      <c r="AO87" s="288">
        <f>R87*I87*AM87</f>
        <v/>
      </c>
      <c r="AP87" s="288">
        <f>S87*I87*AM87*0.25</f>
        <v/>
      </c>
      <c r="AQ87" s="288">
        <f>S87*I87*AM87</f>
        <v/>
      </c>
      <c r="AR87" s="288">
        <f>T87*I87*AM87*0.25</f>
        <v/>
      </c>
      <c r="AS87" s="288">
        <f>T87*I87*AM87</f>
        <v/>
      </c>
      <c r="AT87" s="444">
        <f>1/8</f>
        <v/>
      </c>
      <c r="AU87" s="444">
        <f>0.25</f>
        <v/>
      </c>
      <c r="AV87" s="288">
        <f>R87*AT87*AU87*0.25</f>
        <v/>
      </c>
      <c r="AW87" s="288">
        <f>R87*AT87*AU87</f>
        <v/>
      </c>
      <c r="AX87" s="288">
        <f>S87*AT87*AU87*0.25</f>
        <v/>
      </c>
      <c r="AY87" s="288">
        <f>S87*AT87*AU87</f>
        <v/>
      </c>
      <c r="AZ87" s="288">
        <f>T87*AT87*AU87*0.25</f>
        <v/>
      </c>
      <c r="BA87" s="288">
        <f>T87*AT87*AU87</f>
        <v/>
      </c>
      <c r="BB87" s="288">
        <f>R87*K87*0.2</f>
        <v/>
      </c>
      <c r="BC87" s="288">
        <f>R87*K87</f>
        <v/>
      </c>
      <c r="BD87" s="274">
        <f>S87*K87*0.2</f>
        <v/>
      </c>
      <c r="BE87" s="288">
        <f>S87*K87</f>
        <v/>
      </c>
      <c r="BF87" s="288">
        <f>T87*K87*0.2</f>
        <v/>
      </c>
      <c r="BG87" s="308">
        <f>T87*K87</f>
        <v/>
      </c>
      <c r="BH87" s="308">
        <f>R87*K87*0.2</f>
        <v/>
      </c>
      <c r="BI87" s="308">
        <f>R87*K87</f>
        <v/>
      </c>
      <c r="BJ87" s="308">
        <f>S87*K87*0.2</f>
        <v/>
      </c>
      <c r="BK87" s="308">
        <f>S87*K87</f>
        <v/>
      </c>
      <c r="BL87" s="308">
        <f>T87*K87*0.2</f>
        <v/>
      </c>
      <c r="BM87" s="311">
        <f>T87*K87</f>
        <v/>
      </c>
      <c r="BN87" s="311">
        <f>R87*K87*0.2</f>
        <v/>
      </c>
      <c r="BO87" s="311">
        <f>K87*R87</f>
        <v/>
      </c>
      <c r="BP87" s="311">
        <f>S87*K87*0.2</f>
        <v/>
      </c>
      <c r="BQ87" s="311">
        <f>K87*S87</f>
        <v/>
      </c>
      <c r="BR87" s="311">
        <f>K87*T87*0.2</f>
        <v/>
      </c>
      <c r="BS87" s="270">
        <f>K87*T87</f>
        <v/>
      </c>
      <c r="BT87" s="444">
        <f>R87*K87*0.4</f>
        <v/>
      </c>
      <c r="BU87" s="444">
        <f>R87*K87</f>
        <v/>
      </c>
      <c r="BV87" s="444">
        <f>S87*K87*0.4</f>
        <v/>
      </c>
      <c r="BW87" s="444">
        <f>S87*K87</f>
        <v/>
      </c>
      <c r="BX87" s="444">
        <f>T87*K87*0.4</f>
        <v/>
      </c>
      <c r="BY87" s="270">
        <f>T87*K87</f>
        <v/>
      </c>
      <c r="BZ87" s="288">
        <f>R87*K87*0</f>
        <v/>
      </c>
      <c r="CA87" s="288">
        <f>R87*K87</f>
        <v/>
      </c>
      <c r="CB87" s="288">
        <f>S87*K87*0</f>
        <v/>
      </c>
      <c r="CC87" s="288">
        <f>S87*K87</f>
        <v/>
      </c>
      <c r="CD87" s="288">
        <f>T87*K87*0</f>
        <v/>
      </c>
      <c r="CE87" s="288">
        <f>T87*K87</f>
        <v/>
      </c>
    </row>
    <row r="88" ht="390" customHeight="1" s="452">
      <c r="A88" s="444" t="n">
        <v>85</v>
      </c>
      <c r="B88" s="279" t="inlineStr">
        <is>
          <t>Tarımsal Yoğunluk ve Birim Maliyet Yönetimi</t>
        </is>
      </c>
      <c r="C88" s="279" t="inlineStr">
        <is>
          <t>Ekonomik Sürdürülebilirlik: Girdi maliyetlerinin (gübre, tohum, ilaç) birim verime oranıdır. İşletmenin kârlılığını doğrudan belirleyen en temel operasyonel veridir.</t>
        </is>
      </c>
      <c r="D88" s="444">
        <f>ESG_FO_Makale!$G$20</f>
        <v/>
      </c>
      <c r="E88" s="444" t="n">
        <v>0.105</v>
      </c>
      <c r="F88" s="444">
        <f>D88*E88</f>
        <v/>
      </c>
      <c r="G88" s="444">
        <f>ESG_FO_AnaBlok!$G$20</f>
        <v/>
      </c>
      <c r="H88" s="444">
        <f>FO_AltGruplar!$G$19</f>
        <v/>
      </c>
      <c r="I88" s="444">
        <f>FO_BitkiselU!G16</f>
        <v/>
      </c>
      <c r="J88" s="444">
        <f>G88*H88*I88</f>
        <v/>
      </c>
      <c r="K88" s="444">
        <f>H88*I88</f>
        <v/>
      </c>
      <c r="L88" s="444" t="inlineStr">
        <is>
          <t>Yaklaşık toplam ekilebilir alanı 966 bin dekar büyüklüğündeki üretim alanının %83’ünde gelişmiş sulama sistemlerinin kullanılması, sulama faaliyetlerinin geniş bir alanda mekanize ve standartlaştırılmış biçimde yürütüldüğünü göstermektedir. Pivot sistemlerinin kullanılması, sulama uygulamalarının daha düzenli izlenmesine ve alan başına girdi kullanımının yönetilmesine katkı sağlayabilecek bir altyapı unsuru olarak değerlendirilmiştir. Göstergenin puanlanmasında sulanan alan, kullanılan su ve enerji miktarı, bakım–işletme giderleri ve dekar başına üretim maliyeti birlikte dikkate alınmıştır</t>
        </is>
      </c>
      <c r="M88" s="444" t="n">
        <v>4</v>
      </c>
      <c r="N88" s="444" t="inlineStr">
        <is>
          <t>Gider tablosunda görülen mısır silajı ve yonca kalemlerindeki yoğun harcama, "İntansif Tarım" (Birim alandan yüksek verim) başarısını gösterir. Hayvancılığa doğrudan destek olduğu için finansal verimliliği yüksek olarak değerlendirilmiştir.</t>
        </is>
      </c>
      <c r="O88" s="281" t="n">
        <v>5</v>
      </c>
      <c r="P88" s="444" t="inlineStr">
        <is>
          <t>Güzlük hububat ağırlıklı üretim ve daha sınırlı ürün çeşitliliği, girdi planlamasını daha az riskli hale getirdiği değerlendirilmiştir.</t>
        </is>
      </c>
      <c r="Q88" s="444" t="n">
        <v>4</v>
      </c>
      <c r="R88" s="444">
        <f>100*(M88-1)/4</f>
        <v/>
      </c>
      <c r="S88" s="444">
        <f>100*(O88-1)/4</f>
        <v/>
      </c>
      <c r="T88" s="444">
        <f>100*(Q88-1)/4</f>
        <v/>
      </c>
      <c r="U88" s="444">
        <f>R88*J88</f>
        <v/>
      </c>
      <c r="V88" s="444">
        <f>R88*K88</f>
        <v/>
      </c>
      <c r="W88" s="444">
        <f>S88*$J88</f>
        <v/>
      </c>
      <c r="X88" s="270">
        <f>S88*K88</f>
        <v/>
      </c>
      <c r="Y88" s="444">
        <f>T88*$J88</f>
        <v/>
      </c>
      <c r="Z88" s="270">
        <f>T88*K88</f>
        <v/>
      </c>
      <c r="AA88" s="444">
        <f>R88*F88</f>
        <v/>
      </c>
      <c r="AB88" s="270">
        <f>R88*E88</f>
        <v/>
      </c>
      <c r="AC88" s="444">
        <f>S88*F88</f>
        <v/>
      </c>
      <c r="AD88" s="270">
        <f>S88*E88</f>
        <v/>
      </c>
      <c r="AE88" s="444">
        <f>T88*F88</f>
        <v/>
      </c>
      <c r="AF88" s="270">
        <f>T88*E88</f>
        <v/>
      </c>
      <c r="AG88" s="443">
        <f>R88*0.25*K88</f>
        <v/>
      </c>
      <c r="AH88" s="283">
        <f>K88*R88</f>
        <v/>
      </c>
      <c r="AI88" s="443">
        <f>S88*0.25*$K88</f>
        <v/>
      </c>
      <c r="AJ88" s="443">
        <f>S88*K88</f>
        <v/>
      </c>
      <c r="AK88" s="443">
        <f>T88*0.25*$K88</f>
        <v/>
      </c>
      <c r="AL88" s="443">
        <f>K88*T88</f>
        <v/>
      </c>
      <c r="AM88" s="443">
        <f>0.25</f>
        <v/>
      </c>
      <c r="AN88" s="288">
        <f>R88*I88*AM88*0.25</f>
        <v/>
      </c>
      <c r="AO88" s="288">
        <f>R88*I88*AM88</f>
        <v/>
      </c>
      <c r="AP88" s="288">
        <f>S88*I88*AM88*0.25</f>
        <v/>
      </c>
      <c r="AQ88" s="288">
        <f>S88*I88*AM88</f>
        <v/>
      </c>
      <c r="AR88" s="288">
        <f>T88*I88*AM88*0.25</f>
        <v/>
      </c>
      <c r="AS88" s="288">
        <f>T88*I88*AM88</f>
        <v/>
      </c>
      <c r="AT88" s="444" t="n">
        <v>0.25</v>
      </c>
      <c r="AU88" s="444">
        <f>0.25</f>
        <v/>
      </c>
      <c r="AV88" s="288">
        <f>R88*AT88*AU88*0.25</f>
        <v/>
      </c>
      <c r="AW88" s="288">
        <f>R88*AT88*AU88</f>
        <v/>
      </c>
      <c r="AX88" s="288">
        <f>S88*AT88*AU88*0.25</f>
        <v/>
      </c>
      <c r="AY88" s="288">
        <f>S88*AT88*AU88</f>
        <v/>
      </c>
      <c r="AZ88" s="288">
        <f>T88*AT88*AU88*0.25</f>
        <v/>
      </c>
      <c r="BA88" s="288">
        <f>T88*AT88*AU88</f>
        <v/>
      </c>
      <c r="BB88" s="288">
        <f>R88*K88*0.2</f>
        <v/>
      </c>
      <c r="BC88" s="288">
        <f>R88*K88</f>
        <v/>
      </c>
      <c r="BD88" s="274">
        <f>S88*K88*0.2</f>
        <v/>
      </c>
      <c r="BE88" s="288">
        <f>S88*K88</f>
        <v/>
      </c>
      <c r="BF88" s="288">
        <f>T88*K88*0.2</f>
        <v/>
      </c>
      <c r="BG88" s="308">
        <f>T88*K88</f>
        <v/>
      </c>
      <c r="BH88" s="308">
        <f>R88*K88*0.2</f>
        <v/>
      </c>
      <c r="BI88" s="308">
        <f>R88*K88</f>
        <v/>
      </c>
      <c r="BJ88" s="308">
        <f>S88*K88*0.2</f>
        <v/>
      </c>
      <c r="BK88" s="308">
        <f>S88*K88</f>
        <v/>
      </c>
      <c r="BL88" s="308">
        <f>T88*K88*0.2</f>
        <v/>
      </c>
      <c r="BM88" s="311">
        <f>T88*K88</f>
        <v/>
      </c>
      <c r="BN88" s="311">
        <f>R88*K88*0.2</f>
        <v/>
      </c>
      <c r="BO88" s="311">
        <f>K88*R88</f>
        <v/>
      </c>
      <c r="BP88" s="311">
        <f>S88*K88*0.2</f>
        <v/>
      </c>
      <c r="BQ88" s="311">
        <f>K88*S88</f>
        <v/>
      </c>
      <c r="BR88" s="311">
        <f>K88*T88*0.2</f>
        <v/>
      </c>
      <c r="BS88" s="270">
        <f>K88*T88</f>
        <v/>
      </c>
      <c r="BT88" s="444">
        <f>R88*K88*0.4</f>
        <v/>
      </c>
      <c r="BU88" s="444">
        <f>R88*K88</f>
        <v/>
      </c>
      <c r="BV88" s="444">
        <f>S88*K88*0.4</f>
        <v/>
      </c>
      <c r="BW88" s="444">
        <f>S88*K88</f>
        <v/>
      </c>
      <c r="BX88" s="444">
        <f>T88*K88*0.4</f>
        <v/>
      </c>
      <c r="BY88" s="270">
        <f>T88*K88</f>
        <v/>
      </c>
      <c r="BZ88" s="288">
        <f>R88*K88*0</f>
        <v/>
      </c>
      <c r="CA88" s="288">
        <f>R88*K88</f>
        <v/>
      </c>
      <c r="CB88" s="288">
        <f>S88*K88*0</f>
        <v/>
      </c>
      <c r="CC88" s="288">
        <f>S88*K88</f>
        <v/>
      </c>
      <c r="CD88" s="288">
        <f>T88*K88*0</f>
        <v/>
      </c>
      <c r="CE88" s="288">
        <f>T88*K88</f>
        <v/>
      </c>
    </row>
    <row r="89" ht="210" customHeight="1" s="452">
      <c r="A89" s="444" t="n">
        <v>86</v>
      </c>
      <c r="B89" s="279" t="inlineStr">
        <is>
          <t>Toprak Hazırlığı ve Koruyucu Tarım Kalitesi</t>
        </is>
      </c>
      <c r="C89" s="279" t="inlineStr">
        <is>
          <t>Varlık Yönetimi: Doğrudan ekim veya minimum toprak işleme gibi yöntemlerin kalitesidir. Toprağın uzun vadeli sağlığını ve su tutma kapasitesini korur.</t>
        </is>
      </c>
      <c r="D89" s="444">
        <f>ESG_FO_Makale!$G$20</f>
        <v/>
      </c>
      <c r="E89" s="444" t="n">
        <v>0.08749999999999999</v>
      </c>
      <c r="F89" s="444">
        <f>D89*E89</f>
        <v/>
      </c>
      <c r="G89" s="444">
        <f>ESG_FO_AnaBlok!$G$20</f>
        <v/>
      </c>
      <c r="H89" s="444">
        <f>FO_AltGruplar!$G$19</f>
        <v/>
      </c>
      <c r="I89" s="444">
        <f>FO_BitkiselU!G17</f>
        <v/>
      </c>
      <c r="J89" s="444">
        <f>G89*H89*I89</f>
        <v/>
      </c>
      <c r="K89" s="444">
        <f>H89*I89</f>
        <v/>
      </c>
      <c r="L89" s="444" t="inlineStr">
        <is>
          <t>Geniş alanlarda toprağın sürekli işlenmesi ve ağır mekanizasyon kullanımı, "toprak sıkışması" riski taşımaktadır. Bununla birlikte gübreleme işlemlerine temel oluşturmak üzere her ekim öncesi toprak analizleri yaptırılmaktadır.</t>
        </is>
      </c>
      <c r="M89" s="444" t="n">
        <v>3</v>
      </c>
      <c r="N89" s="444" t="inlineStr">
        <is>
          <t>Devasa alanlarda toprağın sürekli işlenmesi ve ağır mekanizasyon kullanımı, "toprak sıkışması" riski taşımaktadır. Bununla birlikte gübreleme işlemlerine temel oluşturmak üzere her ekim öncesi toprak analizleri yaptırılmaktadır.Hayvancılık atıklarının (gübre) bitkisel üretime geri kazandırılması (döngüsellik), toprak organik maddesinin korunmasında büyük avantaj sağlar.</t>
        </is>
      </c>
      <c r="O89" s="281" t="n">
        <v>4</v>
      </c>
      <c r="P89" s="444" t="inlineStr">
        <is>
          <t>Geniş alanlarda toprağın sürekli işlenmesi ve ağır mekanizasyon kullanımı, "toprak sıkışması" riski taşımaktadır. Bununla birlikte gübreleme işlemlerine temel oluşturmak üzere her ekim öncesi toprak analizleri yaptırılmaktadır.</t>
        </is>
      </c>
      <c r="Q89" s="444" t="n">
        <v>3</v>
      </c>
      <c r="R89" s="444">
        <f>100*(M89-1)/4</f>
        <v/>
      </c>
      <c r="S89" s="444">
        <f>100*(O89-1)/4</f>
        <v/>
      </c>
      <c r="T89" s="444">
        <f>100*(Q89-1)/4</f>
        <v/>
      </c>
      <c r="U89" s="444">
        <f>R89*J89</f>
        <v/>
      </c>
      <c r="V89" s="444">
        <f>R89*K89</f>
        <v/>
      </c>
      <c r="W89" s="444">
        <f>S89*$J89</f>
        <v/>
      </c>
      <c r="X89" s="270">
        <f>S89*K89</f>
        <v/>
      </c>
      <c r="Y89" s="444">
        <f>T89*$J89</f>
        <v/>
      </c>
      <c r="Z89" s="270">
        <f>T89*K89</f>
        <v/>
      </c>
      <c r="AA89" s="444">
        <f>R89*F89</f>
        <v/>
      </c>
      <c r="AB89" s="270">
        <f>R89*E89</f>
        <v/>
      </c>
      <c r="AC89" s="444">
        <f>S89*F89</f>
        <v/>
      </c>
      <c r="AD89" s="270">
        <f>S89*E89</f>
        <v/>
      </c>
      <c r="AE89" s="444">
        <f>T89*F89</f>
        <v/>
      </c>
      <c r="AF89" s="270">
        <f>T89*E89</f>
        <v/>
      </c>
      <c r="AG89" s="443">
        <f>R89*0.25*K89</f>
        <v/>
      </c>
      <c r="AH89" s="283">
        <f>K89*R89</f>
        <v/>
      </c>
      <c r="AI89" s="443">
        <f>S89*0.25*$K89</f>
        <v/>
      </c>
      <c r="AJ89" s="443">
        <f>S89*K89</f>
        <v/>
      </c>
      <c r="AK89" s="443">
        <f>T89*0.25*$K89</f>
        <v/>
      </c>
      <c r="AL89" s="443">
        <f>K89*T89</f>
        <v/>
      </c>
      <c r="AM89" s="443">
        <f>0.25</f>
        <v/>
      </c>
      <c r="AN89" s="288">
        <f>R89*I89*AM89*0.25</f>
        <v/>
      </c>
      <c r="AO89" s="288">
        <f>R89*I89*AM89</f>
        <v/>
      </c>
      <c r="AP89" s="288">
        <f>S89*I89*AM89*0.25</f>
        <v/>
      </c>
      <c r="AQ89" s="288">
        <f>S89*I89*AM89</f>
        <v/>
      </c>
      <c r="AR89" s="288">
        <f>T89*I89*AM89*0.25</f>
        <v/>
      </c>
      <c r="AS89" s="288">
        <f>T89*I89*AM89</f>
        <v/>
      </c>
      <c r="AT89" s="444" t="n">
        <v>0.25</v>
      </c>
      <c r="AU89" s="444">
        <f>0.25</f>
        <v/>
      </c>
      <c r="AV89" s="288">
        <f>R89*AT89*AU89*0.25</f>
        <v/>
      </c>
      <c r="AW89" s="288">
        <f>R89*AT89*AU89</f>
        <v/>
      </c>
      <c r="AX89" s="288">
        <f>S89*AT89*AU89*0.25</f>
        <v/>
      </c>
      <c r="AY89" s="288">
        <f>S89*AT89*AU89</f>
        <v/>
      </c>
      <c r="AZ89" s="288">
        <f>T89*AT89*AU89*0.25</f>
        <v/>
      </c>
      <c r="BA89" s="288">
        <f>T89*AT89*AU89</f>
        <v/>
      </c>
      <c r="BB89" s="288">
        <f>R89*K89*0.2</f>
        <v/>
      </c>
      <c r="BC89" s="288">
        <f>R89*K89</f>
        <v/>
      </c>
      <c r="BD89" s="274">
        <f>S89*K89*0.2</f>
        <v/>
      </c>
      <c r="BE89" s="288">
        <f>S89*K89</f>
        <v/>
      </c>
      <c r="BF89" s="288">
        <f>T89*K89*0.2</f>
        <v/>
      </c>
      <c r="BG89" s="308">
        <f>T89*K89</f>
        <v/>
      </c>
      <c r="BH89" s="308">
        <f>R89*K89*0.2</f>
        <v/>
      </c>
      <c r="BI89" s="308">
        <f>R89*K89</f>
        <v/>
      </c>
      <c r="BJ89" s="308">
        <f>S89*K89*0.2</f>
        <v/>
      </c>
      <c r="BK89" s="308">
        <f>S89*K89</f>
        <v/>
      </c>
      <c r="BL89" s="308">
        <f>T89*K89*0.2</f>
        <v/>
      </c>
      <c r="BM89" s="311">
        <f>T89*K89</f>
        <v/>
      </c>
      <c r="BN89" s="311">
        <f>R89*K89*0.2</f>
        <v/>
      </c>
      <c r="BO89" s="311">
        <f>K89*R89</f>
        <v/>
      </c>
      <c r="BP89" s="311">
        <f>S89*K89*0.2</f>
        <v/>
      </c>
      <c r="BQ89" s="311">
        <f>K89*S89</f>
        <v/>
      </c>
      <c r="BR89" s="311">
        <f>K89*T89*0.2</f>
        <v/>
      </c>
      <c r="BS89" s="270">
        <f>K89*T89</f>
        <v/>
      </c>
      <c r="BT89" s="444">
        <f>R89*K89*0.4</f>
        <v/>
      </c>
      <c r="BU89" s="444">
        <f>R89*K89</f>
        <v/>
      </c>
      <c r="BV89" s="444">
        <f>S89*K89*0.4</f>
        <v/>
      </c>
      <c r="BW89" s="444">
        <f>S89*K89</f>
        <v/>
      </c>
      <c r="BX89" s="444">
        <f>T89*K89*0.4</f>
        <v/>
      </c>
      <c r="BY89" s="270">
        <f>T89*K89</f>
        <v/>
      </c>
      <c r="BZ89" s="288">
        <f>R89*K89*0</f>
        <v/>
      </c>
      <c r="CA89" s="288">
        <f>R89*K89</f>
        <v/>
      </c>
      <c r="CB89" s="288">
        <f>S89*K89*0</f>
        <v/>
      </c>
      <c r="CC89" s="288">
        <f>S89*K89</f>
        <v/>
      </c>
      <c r="CD89" s="288">
        <f>T89*K89*0</f>
        <v/>
      </c>
      <c r="CE89" s="288">
        <f>T89*K89</f>
        <v/>
      </c>
    </row>
    <row r="90" ht="195" customHeight="1" s="452">
      <c r="A90" s="444" t="n">
        <v>87</v>
      </c>
      <c r="B90" s="279" t="inlineStr">
        <is>
          <t>Tarımsal Girdi Kaynaklı Karbon Ayak İzi</t>
        </is>
      </c>
      <c r="C90" s="279" t="inlineStr">
        <is>
          <t>Çevresel Etki: Gübre ve mazot kullanımı kaynaklı emisyonların takibidir. Yeşil Mutabakat ve modern sürdürülebilirlik denetiminin "emisyon" ayağını temsil eder.</t>
        </is>
      </c>
      <c r="D90" s="444">
        <f>ESG_FO_Makale!$G$20</f>
        <v/>
      </c>
      <c r="E90" s="444" t="n">
        <v>0.06999999999999999</v>
      </c>
      <c r="F90" s="444">
        <f>D90*E90</f>
        <v/>
      </c>
      <c r="G90" s="444">
        <f>ESG_FO_AnaBlok!$G$20</f>
        <v/>
      </c>
      <c r="H90" s="444">
        <f>FO_AltGruplar!$G$19</f>
        <v/>
      </c>
      <c r="I90" s="444">
        <f>FO_BitkiselU!G18</f>
        <v/>
      </c>
      <c r="J90" s="444">
        <f>G90*H90*I90</f>
        <v/>
      </c>
      <c r="K90" s="444">
        <f>H90*I90</f>
        <v/>
      </c>
      <c r="L90" s="444" t="inlineStr">
        <is>
          <t>Elektrik tüketiminden kaynaklandığı hesaplanan yaklaşık 143 milyon kg CO₂e emisyon ve yüksek akaryakıt kullanımı, tarımsal üretim girdilerinin karbon yoğunluğunun yüksek olduğunu göstermektedir. Bu durum, Tarımsal Girdi Kaynaklı Karbon Ayak İzi göstergesinin puanını aşağı çeken temel unsur olarak değerlendirilmiştir.</t>
        </is>
      </c>
      <c r="M90" s="444" t="n">
        <v>2</v>
      </c>
      <c r="N90" s="444" t="inlineStr">
        <is>
          <t xml:space="preserve">Elektrik, kömür, LPG, CNG, benzin ve motorin tüketimlerini içeren ayrıntılı enerji envanteri, girdi kaynaklı emisyonların kaynak bazında izlenebildiğini göstermektedir. Bununla birlikte yaklaşık 55,8 milyon kg CO₂ emisyonu düzeyindeki hesaplama ve yüksek motorin/elektrik kullanımı çevresel maruziyetin sınırlı olmadığını göstermektedir. </t>
        </is>
      </c>
      <c r="O90" s="281" t="n">
        <v>3</v>
      </c>
      <c r="P90" s="444" t="inlineStr">
        <is>
          <t xml:space="preserve">Daha sınırlı üretim ölçeği ve mera kullanımının dış yem ihtiyacını azaltabilmesi, girdi kaynaklı emisyonların yönetimi bakımından olumlu olabilir. </t>
        </is>
      </c>
      <c r="Q90" s="444" t="n">
        <v>3</v>
      </c>
      <c r="R90" s="444">
        <f>100*(M90-1)/4</f>
        <v/>
      </c>
      <c r="S90" s="444">
        <f>100*(O90-1)/4</f>
        <v/>
      </c>
      <c r="T90" s="444">
        <f>100*(Q90-1)/4</f>
        <v/>
      </c>
      <c r="U90" s="444">
        <f>R90*J90</f>
        <v/>
      </c>
      <c r="V90" s="444">
        <f>R90*K90</f>
        <v/>
      </c>
      <c r="W90" s="444">
        <f>S90*$J90</f>
        <v/>
      </c>
      <c r="X90" s="270">
        <f>S90*K90</f>
        <v/>
      </c>
      <c r="Y90" s="444">
        <f>T90*$J90</f>
        <v/>
      </c>
      <c r="Z90" s="270">
        <f>T90*K90</f>
        <v/>
      </c>
      <c r="AA90" s="444">
        <f>R90*F90</f>
        <v/>
      </c>
      <c r="AB90" s="270">
        <f>R90*E90</f>
        <v/>
      </c>
      <c r="AC90" s="444">
        <f>S90*F90</f>
        <v/>
      </c>
      <c r="AD90" s="270">
        <f>S90*E90</f>
        <v/>
      </c>
      <c r="AE90" s="444">
        <f>T90*F90</f>
        <v/>
      </c>
      <c r="AF90" s="270">
        <f>T90*E90</f>
        <v/>
      </c>
      <c r="AG90" s="443">
        <f>R90*0.25*K90</f>
        <v/>
      </c>
      <c r="AH90" s="283">
        <f>K90*R90</f>
        <v/>
      </c>
      <c r="AI90" s="443">
        <f>S90*0.25*$K90</f>
        <v/>
      </c>
      <c r="AJ90" s="443">
        <f>S90*K90</f>
        <v/>
      </c>
      <c r="AK90" s="443">
        <f>T90*0.25*$K90</f>
        <v/>
      </c>
      <c r="AL90" s="443">
        <f>K90*T90</f>
        <v/>
      </c>
      <c r="AM90" s="443">
        <f>0.25</f>
        <v/>
      </c>
      <c r="AN90" s="288">
        <f>R90*I90*AM90*0.25</f>
        <v/>
      </c>
      <c r="AO90" s="288">
        <f>R90*I90*AM90</f>
        <v/>
      </c>
      <c r="AP90" s="288">
        <f>S90*I90*AM90*0.25</f>
        <v/>
      </c>
      <c r="AQ90" s="288">
        <f>S90*I90*AM90</f>
        <v/>
      </c>
      <c r="AR90" s="288">
        <f>T90*I90*AM90*0.25</f>
        <v/>
      </c>
      <c r="AS90" s="288">
        <f>T90*I90*AM90</f>
        <v/>
      </c>
      <c r="AT90" s="444" t="n">
        <v>0.25</v>
      </c>
      <c r="AU90" s="444">
        <f>0.25</f>
        <v/>
      </c>
      <c r="AV90" s="288">
        <f>R90*AT90*AU90*0.25</f>
        <v/>
      </c>
      <c r="AW90" s="288">
        <f>R90*AT90*AU90</f>
        <v/>
      </c>
      <c r="AX90" s="288">
        <f>S90*AT90*AU90*0.25</f>
        <v/>
      </c>
      <c r="AY90" s="288">
        <f>S90*AT90*AU90</f>
        <v/>
      </c>
      <c r="AZ90" s="288">
        <f>T90*AT90*AU90*0.25</f>
        <v/>
      </c>
      <c r="BA90" s="288">
        <f>T90*AT90*AU90</f>
        <v/>
      </c>
      <c r="BB90" s="288">
        <f>R90*K90*0.2</f>
        <v/>
      </c>
      <c r="BC90" s="288">
        <f>R90*K90</f>
        <v/>
      </c>
      <c r="BD90" s="274">
        <f>S90*K90*0.2</f>
        <v/>
      </c>
      <c r="BE90" s="288">
        <f>S90*K90</f>
        <v/>
      </c>
      <c r="BF90" s="288">
        <f>T90*K90*0.2</f>
        <v/>
      </c>
      <c r="BG90" s="308">
        <f>T90*K90</f>
        <v/>
      </c>
      <c r="BH90" s="308">
        <f>R90*K90*0.2</f>
        <v/>
      </c>
      <c r="BI90" s="308">
        <f>R90*K90</f>
        <v/>
      </c>
      <c r="BJ90" s="308">
        <f>S90*K90*0.2</f>
        <v/>
      </c>
      <c r="BK90" s="308">
        <f>S90*K90</f>
        <v/>
      </c>
      <c r="BL90" s="308">
        <f>T90*K90*0.2</f>
        <v/>
      </c>
      <c r="BM90" s="311">
        <f>T90*K90</f>
        <v/>
      </c>
      <c r="BN90" s="311">
        <f>R90*K90*0.2</f>
        <v/>
      </c>
      <c r="BO90" s="311">
        <f>K90*R90</f>
        <v/>
      </c>
      <c r="BP90" s="311">
        <f>S90*K90*0.2</f>
        <v/>
      </c>
      <c r="BQ90" s="311">
        <f>K90*S90</f>
        <v/>
      </c>
      <c r="BR90" s="311">
        <f>K90*T90*0.2</f>
        <v/>
      </c>
      <c r="BS90" s="270">
        <f>K90*T90</f>
        <v/>
      </c>
      <c r="BT90" s="444">
        <f>R90*K90*0.4</f>
        <v/>
      </c>
      <c r="BU90" s="444">
        <f>R90*K90</f>
        <v/>
      </c>
      <c r="BV90" s="444">
        <f>S90*K90*0.4</f>
        <v/>
      </c>
      <c r="BW90" s="444">
        <f>S90*K90</f>
        <v/>
      </c>
      <c r="BX90" s="444">
        <f>T90*K90*0.4</f>
        <v/>
      </c>
      <c r="BY90" s="270">
        <f>T90*K90</f>
        <v/>
      </c>
      <c r="BZ90" s="288">
        <f>R90*K90*0</f>
        <v/>
      </c>
      <c r="CA90" s="288">
        <f>R90*K90</f>
        <v/>
      </c>
      <c r="CB90" s="288">
        <f>S90*K90*0</f>
        <v/>
      </c>
      <c r="CC90" s="288">
        <f>S90*K90</f>
        <v/>
      </c>
      <c r="CD90" s="288">
        <f>T90*K90*0</f>
        <v/>
      </c>
      <c r="CE90" s="288">
        <f>T90*K90</f>
        <v/>
      </c>
    </row>
    <row r="91" ht="225" customHeight="1" s="452">
      <c r="A91" s="444" t="n">
        <v>88</v>
      </c>
      <c r="B91" s="279" t="inlineStr">
        <is>
          <t>Ürün Deseninde Stratejik Esneklik</t>
        </is>
      </c>
      <c r="C91" s="279" t="inlineStr">
        <is>
          <t>İklim ve Pazar Uyumu: TİGEM'in arz güvenliği misyonudur. Kuraklık veya piyasa talebine göre ürün desenini (buğday, mısır vb.) hızla güncelleyebilme yeteneğidir.</t>
        </is>
      </c>
      <c r="D91" s="444">
        <f>ESG_FO_Makale!$G$20</f>
        <v/>
      </c>
      <c r="E91" s="444" t="n">
        <v>0.08749999999999999</v>
      </c>
      <c r="F91" s="444">
        <f>D91*E91</f>
        <v/>
      </c>
      <c r="G91" s="444">
        <f>ESG_FO_AnaBlok!$G$20</f>
        <v/>
      </c>
      <c r="H91" s="444">
        <f>FO_AltGruplar!$G$19</f>
        <v/>
      </c>
      <c r="I91" s="444">
        <f>FO_BitkiselU!G19</f>
        <v/>
      </c>
      <c r="J91" s="444">
        <f>G91*H91*I91</f>
        <v/>
      </c>
      <c r="K91" s="444">
        <f>H91*I91</f>
        <v/>
      </c>
      <c r="L91" s="444" t="inlineStr">
        <is>
          <t>Hububat, yağlı tohumlar ve mısır gibi farklı ürün gruplarının üretim planında yer alması, işletmenin ürün çeşitliliğini ve değişen üretim koşullarına uyum kapasitesini artırmaktadır. Ürün deseninin sertifikalı tohumluk üretimi ve gıda arzının sürekliliğine ilişkin kurumsal misyonla uyumlu olması, Ürün Deseninde Stratejik Esneklik göstergesi bakımından olumlu değerlendirilmiştir.</t>
        </is>
      </c>
      <c r="M91" s="444" t="n">
        <v>5</v>
      </c>
      <c r="N91" s="444" t="inlineStr">
        <is>
          <t>Ürün deseninde yem bitkileri ve tohumluk üretiminin birlikte bulunması, hayvansal üretimi destekleyen ve gelir kaynaklarını çeşitlendiren bir yapı olarak değerlendirilmiştir.</t>
        </is>
      </c>
      <c r="O91" s="281" t="n">
        <v>4</v>
      </c>
      <c r="P91" s="444" t="inlineStr">
        <is>
          <t>Güzlük hububat ve belirli tohumluk ürünlerine dayalı yapı, bölgesel iklim ve kuraklık koşullarına uyum sağlayabilecek bir üretim planı sağlaması yönüyle değerlendirilmiştir.</t>
        </is>
      </c>
      <c r="Q91" s="444" t="n">
        <v>4</v>
      </c>
      <c r="R91" s="444">
        <f>100*(M91-1)/4</f>
        <v/>
      </c>
      <c r="S91" s="444">
        <f>100*(O91-1)/4</f>
        <v/>
      </c>
      <c r="T91" s="444">
        <f>100*(Q91-1)/4</f>
        <v/>
      </c>
      <c r="U91" s="444">
        <f>R91*J91</f>
        <v/>
      </c>
      <c r="V91" s="444">
        <f>R91*K91</f>
        <v/>
      </c>
      <c r="W91" s="444">
        <f>S91*$J91</f>
        <v/>
      </c>
      <c r="X91" s="270">
        <f>S91*K91</f>
        <v/>
      </c>
      <c r="Y91" s="444">
        <f>T91*$J91</f>
        <v/>
      </c>
      <c r="Z91" s="270">
        <f>T91*K91</f>
        <v/>
      </c>
      <c r="AA91" s="444">
        <f>R91*F91</f>
        <v/>
      </c>
      <c r="AB91" s="270">
        <f>R91*E91</f>
        <v/>
      </c>
      <c r="AC91" s="444">
        <f>S91*F91</f>
        <v/>
      </c>
      <c r="AD91" s="270">
        <f>S91*E91</f>
        <v/>
      </c>
      <c r="AE91" s="444">
        <f>T91*F91</f>
        <v/>
      </c>
      <c r="AF91" s="270">
        <f>T91*E91</f>
        <v/>
      </c>
      <c r="AG91" s="443">
        <f>R91*0.25*K91</f>
        <v/>
      </c>
      <c r="AH91" s="283">
        <f>K91*R91</f>
        <v/>
      </c>
      <c r="AI91" s="443">
        <f>S91*0.25*$K91</f>
        <v/>
      </c>
      <c r="AJ91" s="443">
        <f>S91*K91</f>
        <v/>
      </c>
      <c r="AK91" s="443">
        <f>T91*0.25*$K91</f>
        <v/>
      </c>
      <c r="AL91" s="443">
        <f>K91*T91</f>
        <v/>
      </c>
      <c r="AM91" s="443">
        <f>0.25</f>
        <v/>
      </c>
      <c r="AN91" s="288">
        <f>R91*I91*AM91*0.25</f>
        <v/>
      </c>
      <c r="AO91" s="288">
        <f>R91*I91*AM91</f>
        <v/>
      </c>
      <c r="AP91" s="288">
        <f>S91*I91*AM91*0.25</f>
        <v/>
      </c>
      <c r="AQ91" s="288">
        <f>S91*I91*AM91</f>
        <v/>
      </c>
      <c r="AR91" s="288">
        <f>T91*I91*AM91*0.25</f>
        <v/>
      </c>
      <c r="AS91" s="288">
        <f>T91*I91*AM91</f>
        <v/>
      </c>
      <c r="AT91" s="444">
        <f>0.25</f>
        <v/>
      </c>
      <c r="AU91" s="444">
        <f>0.25</f>
        <v/>
      </c>
      <c r="AV91" s="288">
        <f>R91*AT91*AU91*0.25</f>
        <v/>
      </c>
      <c r="AW91" s="288">
        <f>R91*AT91*AU91</f>
        <v/>
      </c>
      <c r="AX91" s="288">
        <f>S91*AT91*AU91*0.25</f>
        <v/>
      </c>
      <c r="AY91" s="288">
        <f>S91*AT91*AU91</f>
        <v/>
      </c>
      <c r="AZ91" s="288">
        <f>T91*AT91*AU91*0.25</f>
        <v/>
      </c>
      <c r="BA91" s="288">
        <f>T91*AT91*AU91</f>
        <v/>
      </c>
      <c r="BB91" s="288">
        <f>R91*K91*0.2</f>
        <v/>
      </c>
      <c r="BC91" s="288">
        <f>R91*K91</f>
        <v/>
      </c>
      <c r="BD91" s="274">
        <f>S91*K91*0.2</f>
        <v/>
      </c>
      <c r="BE91" s="288">
        <f>S91*K91</f>
        <v/>
      </c>
      <c r="BF91" s="288">
        <f>T91*K91*0.2</f>
        <v/>
      </c>
      <c r="BG91" s="308">
        <f>T91*K91</f>
        <v/>
      </c>
      <c r="BH91" s="308">
        <f>R91*K91*0.2</f>
        <v/>
      </c>
      <c r="BI91" s="308">
        <f>R91*K91</f>
        <v/>
      </c>
      <c r="BJ91" s="308">
        <f>S91*K91*0.2</f>
        <v/>
      </c>
      <c r="BK91" s="308">
        <f>S91*K91</f>
        <v/>
      </c>
      <c r="BL91" s="308">
        <f>T91*K91*0.2</f>
        <v/>
      </c>
      <c r="BM91" s="311">
        <f>T91*K91</f>
        <v/>
      </c>
      <c r="BN91" s="311">
        <f>R91*K91*0.2</f>
        <v/>
      </c>
      <c r="BO91" s="311">
        <f>K91*R91</f>
        <v/>
      </c>
      <c r="BP91" s="311">
        <f>S91*K91*0.2</f>
        <v/>
      </c>
      <c r="BQ91" s="311">
        <f>K91*S91</f>
        <v/>
      </c>
      <c r="BR91" s="311">
        <f>K91*T91*0.2</f>
        <v/>
      </c>
      <c r="BS91" s="270">
        <f>K91*T91</f>
        <v/>
      </c>
      <c r="BT91" s="444">
        <f>R91*K91*0.4</f>
        <v/>
      </c>
      <c r="BU91" s="444">
        <f>R91*K91</f>
        <v/>
      </c>
      <c r="BV91" s="444">
        <f>S91*K91*0.4</f>
        <v/>
      </c>
      <c r="BW91" s="444">
        <f>S91*K91</f>
        <v/>
      </c>
      <c r="BX91" s="444">
        <f>T91*K91*0.4</f>
        <v/>
      </c>
      <c r="BY91" s="270">
        <f>T91*K91</f>
        <v/>
      </c>
      <c r="BZ91" s="288">
        <f>R91*K91*0</f>
        <v/>
      </c>
      <c r="CA91" s="288">
        <f>R91*K91</f>
        <v/>
      </c>
      <c r="CB91" s="288">
        <f>S91*K91*0</f>
        <v/>
      </c>
      <c r="CC91" s="288">
        <f>S91*K91</f>
        <v/>
      </c>
      <c r="CD91" s="288">
        <f>T91*K91*0</f>
        <v/>
      </c>
      <c r="CE91" s="288">
        <f>T91*K91</f>
        <v/>
      </c>
    </row>
    <row r="92">
      <c r="T92" s="306" t="inlineStr">
        <is>
          <t>SS</t>
        </is>
      </c>
      <c r="U92" s="306">
        <f>SUM(U4:U91)</f>
        <v/>
      </c>
      <c r="V92" s="306" t="inlineStr">
        <is>
          <t>SS</t>
        </is>
      </c>
      <c r="W92" s="306">
        <f>SUM(W4:W91)</f>
        <v/>
      </c>
      <c r="X92" s="306" t="inlineStr">
        <is>
          <t>SS</t>
        </is>
      </c>
      <c r="Y92" s="306">
        <f>SUM(Y4:Y91)</f>
        <v/>
      </c>
      <c r="Z92" s="307" t="inlineStr">
        <is>
          <t>SS</t>
        </is>
      </c>
      <c r="AA92" s="307">
        <f>SUM(AA4:AA91)</f>
        <v/>
      </c>
      <c r="AB92" s="307" t="inlineStr">
        <is>
          <t>SS</t>
        </is>
      </c>
      <c r="AC92" s="307">
        <f>SUM(AC4:AC91)</f>
        <v/>
      </c>
      <c r="AD92" s="307" t="inlineStr">
        <is>
          <t>SS</t>
        </is>
      </c>
      <c r="AE92" s="307">
        <f>SUM(AE4:AE91)</f>
        <v/>
      </c>
      <c r="AF92" s="309" t="inlineStr">
        <is>
          <t>SS</t>
        </is>
      </c>
      <c r="AG92" s="309">
        <f>SUM(AG4:AG91)</f>
        <v/>
      </c>
      <c r="AH92" s="310" t="inlineStr">
        <is>
          <t>SS</t>
        </is>
      </c>
      <c r="AI92" s="309">
        <f>SUM(AI4:AI91)</f>
        <v/>
      </c>
      <c r="AJ92" s="310" t="inlineStr">
        <is>
          <t>SS</t>
        </is>
      </c>
      <c r="AK92" s="309">
        <f>SUM(AK4:AK91)</f>
        <v/>
      </c>
      <c r="AM92" s="307" t="inlineStr">
        <is>
          <t>SS</t>
        </is>
      </c>
      <c r="AN92" s="311">
        <f>SUM(AN4:AN91)</f>
        <v/>
      </c>
      <c r="AO92" s="307" t="inlineStr">
        <is>
          <t>SS</t>
        </is>
      </c>
      <c r="AP92" s="311">
        <f>SUM(AP4:AP91)</f>
        <v/>
      </c>
      <c r="AQ92" s="307" t="inlineStr">
        <is>
          <t>SS</t>
        </is>
      </c>
      <c r="AR92" s="311">
        <f>SUM(AR4:AR91)</f>
        <v/>
      </c>
      <c r="AT92" s="443" t="n"/>
      <c r="AU92" s="306" t="inlineStr">
        <is>
          <t>SS</t>
        </is>
      </c>
      <c r="AV92" s="308">
        <f>SUM(AV4:AV91)</f>
        <v/>
      </c>
      <c r="AW92" s="306" t="inlineStr">
        <is>
          <t>SS</t>
        </is>
      </c>
      <c r="AX92" s="308">
        <f>SUM(AX4:AX91)</f>
        <v/>
      </c>
      <c r="AY92" s="306" t="inlineStr">
        <is>
          <t>SS</t>
        </is>
      </c>
      <c r="AZ92" s="308">
        <f>SUM(AZ4:AZ91)</f>
        <v/>
      </c>
      <c r="BA92" s="307" t="inlineStr">
        <is>
          <t>SS</t>
        </is>
      </c>
      <c r="BB92" s="311">
        <f>SUM(BB4:BB91)</f>
        <v/>
      </c>
      <c r="BC92" s="307" t="inlineStr">
        <is>
          <t>SS</t>
        </is>
      </c>
      <c r="BD92" s="311">
        <f>SUM(BD4:BD91)</f>
        <v/>
      </c>
      <c r="BE92" s="307" t="inlineStr">
        <is>
          <t>SS</t>
        </is>
      </c>
      <c r="BF92" s="311">
        <f>SUM(BF4:BF91)</f>
        <v/>
      </c>
      <c r="BG92" s="306" t="inlineStr">
        <is>
          <t>SS</t>
        </is>
      </c>
      <c r="BH92" s="308">
        <f>SUM(BH4:BH91)</f>
        <v/>
      </c>
      <c r="BI92" s="306" t="inlineStr">
        <is>
          <t>SS</t>
        </is>
      </c>
      <c r="BJ92" s="308">
        <f>SUM(BJ4:BJ91)</f>
        <v/>
      </c>
      <c r="BK92" s="306" t="inlineStr">
        <is>
          <t>SS</t>
        </is>
      </c>
      <c r="BL92" s="308">
        <f>SUM(BL4:BL91)</f>
        <v/>
      </c>
      <c r="BM92" s="307" t="inlineStr">
        <is>
          <t>SS</t>
        </is>
      </c>
      <c r="BN92" s="311">
        <f>SUM(BN4:BN91)</f>
        <v/>
      </c>
      <c r="BO92" s="307" t="inlineStr">
        <is>
          <t>SS</t>
        </is>
      </c>
      <c r="BP92" s="311">
        <f>SUM(BP4:BP91)</f>
        <v/>
      </c>
      <c r="BQ92" s="307" t="inlineStr">
        <is>
          <t>SS</t>
        </is>
      </c>
      <c r="BR92" s="311">
        <f>SUM(BR4:BR91)</f>
        <v/>
      </c>
      <c r="BS92" s="310" t="inlineStr">
        <is>
          <t>SS</t>
        </is>
      </c>
      <c r="BT92" s="309">
        <f>SUM(BT4:BT91)</f>
        <v/>
      </c>
      <c r="BU92" s="310" t="inlineStr">
        <is>
          <t>SS</t>
        </is>
      </c>
      <c r="BV92" s="309">
        <f>SUM(BV4:BV91)</f>
        <v/>
      </c>
      <c r="BW92" s="310" t="inlineStr">
        <is>
          <t>SS</t>
        </is>
      </c>
      <c r="BX92" s="309">
        <f>SUM(BX4:BX91)</f>
        <v/>
      </c>
      <c r="BY92" s="307" t="inlineStr">
        <is>
          <t>SS</t>
        </is>
      </c>
      <c r="BZ92" s="311">
        <f>SUM(BZ4:BZ91)</f>
        <v/>
      </c>
      <c r="CA92" s="307" t="inlineStr">
        <is>
          <t>SS</t>
        </is>
      </c>
      <c r="CB92" s="311">
        <f>SUM(CB4:CB91)</f>
        <v/>
      </c>
      <c r="CC92" s="307" t="inlineStr">
        <is>
          <t>SS</t>
        </is>
      </c>
      <c r="CD92" s="311">
        <f>SUM(CD4:CD91)</f>
        <v/>
      </c>
    </row>
    <row r="93">
      <c r="T93" s="306" t="inlineStr">
        <is>
          <t>E</t>
        </is>
      </c>
      <c r="U93" s="306">
        <f>SUM(V4:V29)</f>
        <v/>
      </c>
      <c r="V93" s="306" t="inlineStr">
        <is>
          <t>E</t>
        </is>
      </c>
      <c r="W93" s="306">
        <f>SUM(X4:X29)</f>
        <v/>
      </c>
      <c r="X93" s="306" t="inlineStr">
        <is>
          <t>E</t>
        </is>
      </c>
      <c r="Y93" s="306">
        <f>SUM(Z4:Z29)</f>
        <v/>
      </c>
      <c r="Z93" s="307" t="inlineStr">
        <is>
          <t>E</t>
        </is>
      </c>
      <c r="AA93" s="307">
        <f>SUM(AB4:AB29)</f>
        <v/>
      </c>
      <c r="AB93" s="307" t="inlineStr">
        <is>
          <t>E</t>
        </is>
      </c>
      <c r="AC93" s="307">
        <f>SUM(AD4:AD29)</f>
        <v/>
      </c>
      <c r="AD93" s="307" t="inlineStr">
        <is>
          <t>E</t>
        </is>
      </c>
      <c r="AE93" s="307">
        <f>SUM(AF4:AF29)</f>
        <v/>
      </c>
      <c r="AF93" s="309" t="inlineStr">
        <is>
          <t>E</t>
        </is>
      </c>
      <c r="AG93" s="310">
        <f>SUM(AH4:AH29)</f>
        <v/>
      </c>
      <c r="AH93" s="310" t="inlineStr">
        <is>
          <t>E</t>
        </is>
      </c>
      <c r="AI93" s="310">
        <f>SUM(AJ4:AJ29)</f>
        <v/>
      </c>
      <c r="AJ93" s="310" t="inlineStr">
        <is>
          <t>E</t>
        </is>
      </c>
      <c r="AK93" s="310">
        <f>SUM(AL4:AL29)</f>
        <v/>
      </c>
      <c r="AM93" s="307" t="inlineStr">
        <is>
          <t>E</t>
        </is>
      </c>
      <c r="AN93" s="307">
        <f>SUM(AO4:AO29)</f>
        <v/>
      </c>
      <c r="AO93" s="307" t="inlineStr">
        <is>
          <t>E</t>
        </is>
      </c>
      <c r="AP93" s="307">
        <f>SUM(AQ4:AQ29)</f>
        <v/>
      </c>
      <c r="AQ93" s="307" t="inlineStr">
        <is>
          <t>E</t>
        </is>
      </c>
      <c r="AR93" s="307">
        <f>SUM(AS4:AS29)</f>
        <v/>
      </c>
      <c r="AT93" s="443" t="n"/>
      <c r="AU93" s="306" t="inlineStr">
        <is>
          <t>E</t>
        </is>
      </c>
      <c r="AV93" s="306">
        <f>SUM(AW4:AW29)</f>
        <v/>
      </c>
      <c r="AW93" s="306" t="inlineStr">
        <is>
          <t>E</t>
        </is>
      </c>
      <c r="AX93" s="306">
        <f>SUM(AY4:AY29)</f>
        <v/>
      </c>
      <c r="AY93" s="306" t="inlineStr">
        <is>
          <t>E</t>
        </is>
      </c>
      <c r="AZ93" s="306">
        <f>SUM(BA4:BA29)</f>
        <v/>
      </c>
      <c r="BA93" s="307" t="inlineStr">
        <is>
          <t>E</t>
        </is>
      </c>
      <c r="BB93" s="307">
        <f>SUM(BC4:BC29)</f>
        <v/>
      </c>
      <c r="BC93" s="307" t="inlineStr">
        <is>
          <t>E</t>
        </is>
      </c>
      <c r="BD93" s="307">
        <f>SUM(BE4:BE29)</f>
        <v/>
      </c>
      <c r="BE93" s="307" t="inlineStr">
        <is>
          <t>E</t>
        </is>
      </c>
      <c r="BF93" s="307">
        <f>SUM(BG4:BG29)</f>
        <v/>
      </c>
      <c r="BG93" s="306" t="inlineStr">
        <is>
          <t>E</t>
        </is>
      </c>
      <c r="BH93" s="306">
        <f>SUM(BI4:BI29)</f>
        <v/>
      </c>
      <c r="BI93" s="306" t="inlineStr">
        <is>
          <t>E</t>
        </is>
      </c>
      <c r="BJ93" s="306">
        <f>SUM(BK4:BK29)</f>
        <v/>
      </c>
      <c r="BK93" s="306" t="inlineStr">
        <is>
          <t>E</t>
        </is>
      </c>
      <c r="BL93" s="306">
        <f>SUM(BM4:BM29)</f>
        <v/>
      </c>
      <c r="BM93" s="307" t="inlineStr">
        <is>
          <t>E</t>
        </is>
      </c>
      <c r="BN93" s="307">
        <f>SUM(BO4:BO29)</f>
        <v/>
      </c>
      <c r="BO93" s="307" t="inlineStr">
        <is>
          <t>E</t>
        </is>
      </c>
      <c r="BP93" s="307">
        <f>SUM(BQ4:BQ29)</f>
        <v/>
      </c>
      <c r="BQ93" s="307" t="inlineStr">
        <is>
          <t>E</t>
        </is>
      </c>
      <c r="BR93" s="307">
        <f>SUM(BS4:BS29)</f>
        <v/>
      </c>
      <c r="BS93" s="310" t="inlineStr">
        <is>
          <t>E</t>
        </is>
      </c>
      <c r="BT93" s="310">
        <f>SUM(BU4:BU29)</f>
        <v/>
      </c>
      <c r="BU93" s="310" t="inlineStr">
        <is>
          <t>E</t>
        </is>
      </c>
      <c r="BV93" s="310">
        <f>SUM(BW4:BW29)</f>
        <v/>
      </c>
      <c r="BW93" s="310" t="inlineStr">
        <is>
          <t>E</t>
        </is>
      </c>
      <c r="BX93" s="310">
        <f>SUM(BY4:BY29)</f>
        <v/>
      </c>
      <c r="BY93" s="307" t="inlineStr">
        <is>
          <t>E</t>
        </is>
      </c>
      <c r="BZ93" s="307">
        <f>SUM(CA4:CA29)</f>
        <v/>
      </c>
      <c r="CA93" s="307" t="inlineStr">
        <is>
          <t>E</t>
        </is>
      </c>
      <c r="CB93" s="307">
        <f>SUM(CC4:CC29)</f>
        <v/>
      </c>
      <c r="CC93" s="307" t="inlineStr">
        <is>
          <t>E</t>
        </is>
      </c>
      <c r="CD93" s="307">
        <f>SUM(CE4:CE29)</f>
        <v/>
      </c>
    </row>
    <row r="94">
      <c r="T94" s="306" t="inlineStr">
        <is>
          <t>S</t>
        </is>
      </c>
      <c r="U94" s="306">
        <f>SUM(V30:V49)</f>
        <v/>
      </c>
      <c r="V94" s="306" t="inlineStr">
        <is>
          <t>S</t>
        </is>
      </c>
      <c r="W94" s="306">
        <f>SUM(X30:X49)</f>
        <v/>
      </c>
      <c r="X94" s="306" t="inlineStr">
        <is>
          <t>S</t>
        </is>
      </c>
      <c r="Y94" s="306">
        <f>SUM(Z30:Z49)</f>
        <v/>
      </c>
      <c r="Z94" s="307" t="inlineStr">
        <is>
          <t>S</t>
        </is>
      </c>
      <c r="AA94" s="307">
        <f>SUM(AB30:AB49)</f>
        <v/>
      </c>
      <c r="AB94" s="307" t="inlineStr">
        <is>
          <t>S</t>
        </is>
      </c>
      <c r="AC94" s="307">
        <f>SUM(AD30:AD49)</f>
        <v/>
      </c>
      <c r="AD94" s="307" t="inlineStr">
        <is>
          <t>S</t>
        </is>
      </c>
      <c r="AE94" s="307">
        <f>SUM(AF30:AF49)</f>
        <v/>
      </c>
      <c r="AF94" s="309" t="inlineStr">
        <is>
          <t>S</t>
        </is>
      </c>
      <c r="AG94" s="310">
        <f>SUM(AH30:AH49)</f>
        <v/>
      </c>
      <c r="AH94" s="310" t="inlineStr">
        <is>
          <t>S</t>
        </is>
      </c>
      <c r="AI94" s="310">
        <f>SUM(AJ30:AJ49)</f>
        <v/>
      </c>
      <c r="AJ94" s="310" t="inlineStr">
        <is>
          <t>S</t>
        </is>
      </c>
      <c r="AK94" s="310">
        <f>SUM(AL30:AL49)</f>
        <v/>
      </c>
      <c r="AM94" s="307" t="inlineStr">
        <is>
          <t>S</t>
        </is>
      </c>
      <c r="AN94" s="307">
        <f>SUM(AO30:AO49)</f>
        <v/>
      </c>
      <c r="AO94" s="307" t="inlineStr">
        <is>
          <t>S</t>
        </is>
      </c>
      <c r="AP94" s="307">
        <f>SUM(AQ30:AQ49)</f>
        <v/>
      </c>
      <c r="AQ94" s="307" t="inlineStr">
        <is>
          <t>S</t>
        </is>
      </c>
      <c r="AR94" s="307">
        <f>SUM(AS30:AS49)</f>
        <v/>
      </c>
      <c r="AT94" s="443" t="n"/>
      <c r="AU94" s="306" t="inlineStr">
        <is>
          <t>S</t>
        </is>
      </c>
      <c r="AV94" s="306">
        <f>SUM(AW30:AW49)</f>
        <v/>
      </c>
      <c r="AW94" s="306" t="inlineStr">
        <is>
          <t>S</t>
        </is>
      </c>
      <c r="AX94" s="306">
        <f>SUM(AY30:AY49)</f>
        <v/>
      </c>
      <c r="AY94" s="306" t="inlineStr">
        <is>
          <t>S</t>
        </is>
      </c>
      <c r="AZ94" s="306">
        <f>SUM(BA30:BA49)</f>
        <v/>
      </c>
      <c r="BA94" s="307" t="inlineStr">
        <is>
          <t>S</t>
        </is>
      </c>
      <c r="BB94" s="307">
        <f>SUM(BC30:BC49)</f>
        <v/>
      </c>
      <c r="BC94" s="307" t="inlineStr">
        <is>
          <t>S</t>
        </is>
      </c>
      <c r="BD94" s="307">
        <f>SUM(BE30:BE49)</f>
        <v/>
      </c>
      <c r="BE94" s="307" t="inlineStr">
        <is>
          <t>S</t>
        </is>
      </c>
      <c r="BF94" s="307">
        <f>SUM(BG30:BG49)</f>
        <v/>
      </c>
      <c r="BG94" s="306" t="inlineStr">
        <is>
          <t>S</t>
        </is>
      </c>
      <c r="BH94" s="306">
        <f>SUM(BI30:BI49)</f>
        <v/>
      </c>
      <c r="BI94" s="306" t="inlineStr">
        <is>
          <t>S</t>
        </is>
      </c>
      <c r="BJ94" s="306">
        <f>SUM(BK30:BK49)</f>
        <v/>
      </c>
      <c r="BK94" s="306" t="inlineStr">
        <is>
          <t>S</t>
        </is>
      </c>
      <c r="BL94" s="306">
        <f>SUM(BM30:BM49)</f>
        <v/>
      </c>
      <c r="BM94" s="307" t="inlineStr">
        <is>
          <t>S</t>
        </is>
      </c>
      <c r="BN94" s="307">
        <f>SUM(BO30:BO49)</f>
        <v/>
      </c>
      <c r="BO94" s="307" t="inlineStr">
        <is>
          <t>S</t>
        </is>
      </c>
      <c r="BP94" s="307">
        <f>SUM(BQ30:BQ49)</f>
        <v/>
      </c>
      <c r="BQ94" s="307" t="inlineStr">
        <is>
          <t>S</t>
        </is>
      </c>
      <c r="BR94" s="307">
        <f>SUM(BS30:BS49)</f>
        <v/>
      </c>
      <c r="BS94" s="310" t="inlineStr">
        <is>
          <t>S</t>
        </is>
      </c>
      <c r="BT94" s="310">
        <f>SUM(BU30:BU49)</f>
        <v/>
      </c>
      <c r="BU94" s="310" t="inlineStr">
        <is>
          <t>S</t>
        </is>
      </c>
      <c r="BV94" s="310">
        <f>SUM(BW30:BW49)</f>
        <v/>
      </c>
      <c r="BW94" s="310" t="inlineStr">
        <is>
          <t>S</t>
        </is>
      </c>
      <c r="BX94" s="310">
        <f>SUM(BY30:BY49)</f>
        <v/>
      </c>
      <c r="BY94" s="307" t="inlineStr">
        <is>
          <t>S</t>
        </is>
      </c>
      <c r="BZ94" s="307">
        <f>SUM(CA30:CA49)</f>
        <v/>
      </c>
      <c r="CA94" s="307" t="inlineStr">
        <is>
          <t>S</t>
        </is>
      </c>
      <c r="CB94" s="307">
        <f>SUM(CC30:CC49)</f>
        <v/>
      </c>
      <c r="CC94" s="307" t="inlineStr">
        <is>
          <t>S</t>
        </is>
      </c>
      <c r="CD94" s="307">
        <f>SUM(CE30:CE49)</f>
        <v/>
      </c>
    </row>
    <row r="95">
      <c r="L95" s="444" t="n"/>
      <c r="T95" s="306" t="inlineStr">
        <is>
          <t>G</t>
        </is>
      </c>
      <c r="U95" s="306">
        <f>SUM(V50:V68)</f>
        <v/>
      </c>
      <c r="V95" s="306" t="inlineStr">
        <is>
          <t>G</t>
        </is>
      </c>
      <c r="W95" s="306">
        <f>SUM(X50:X68)</f>
        <v/>
      </c>
      <c r="X95" s="306" t="inlineStr">
        <is>
          <t>G</t>
        </is>
      </c>
      <c r="Y95" s="306">
        <f>SUM(Z50:Z68)</f>
        <v/>
      </c>
      <c r="Z95" s="307" t="inlineStr">
        <is>
          <t>G</t>
        </is>
      </c>
      <c r="AA95" s="307">
        <f>SUM(AB50:AB68)</f>
        <v/>
      </c>
      <c r="AB95" s="307" t="inlineStr">
        <is>
          <t>G</t>
        </is>
      </c>
      <c r="AC95" s="307">
        <f>SUM(AD50:AD68)</f>
        <v/>
      </c>
      <c r="AD95" s="307" t="inlineStr">
        <is>
          <t>G</t>
        </is>
      </c>
      <c r="AE95" s="307">
        <f>SUM(AF50:AF68)</f>
        <v/>
      </c>
      <c r="AF95" s="309" t="inlineStr">
        <is>
          <t>G</t>
        </is>
      </c>
      <c r="AG95" s="310">
        <f>SUM(AH50:AH68)</f>
        <v/>
      </c>
      <c r="AH95" s="310" t="inlineStr">
        <is>
          <t>G</t>
        </is>
      </c>
      <c r="AI95" s="310">
        <f>SUM(AJ50:AJ68)</f>
        <v/>
      </c>
      <c r="AJ95" s="310" t="inlineStr">
        <is>
          <t>G</t>
        </is>
      </c>
      <c r="AK95" s="310">
        <f>SUM(AL50:AL68)</f>
        <v/>
      </c>
      <c r="AM95" s="307" t="inlineStr">
        <is>
          <t>G</t>
        </is>
      </c>
      <c r="AN95" s="307">
        <f>SUM(AO50:AO68)</f>
        <v/>
      </c>
      <c r="AO95" s="307" t="inlineStr">
        <is>
          <t>G</t>
        </is>
      </c>
      <c r="AP95" s="307">
        <f>SUM(AQ50:AQ68)</f>
        <v/>
      </c>
      <c r="AQ95" s="307" t="inlineStr">
        <is>
          <t>G</t>
        </is>
      </c>
      <c r="AR95" s="307">
        <f>SUM(AS50:AS68)</f>
        <v/>
      </c>
      <c r="AT95" s="443" t="n"/>
      <c r="AU95" s="306" t="inlineStr">
        <is>
          <t>G</t>
        </is>
      </c>
      <c r="AV95" s="306">
        <f>SUM(AW50:AW68)</f>
        <v/>
      </c>
      <c r="AW95" s="306" t="inlineStr">
        <is>
          <t>G</t>
        </is>
      </c>
      <c r="AX95" s="306">
        <f>SUM(AY50:AY68)</f>
        <v/>
      </c>
      <c r="AY95" s="306" t="inlineStr">
        <is>
          <t>G</t>
        </is>
      </c>
      <c r="AZ95" s="306">
        <f>SUM(BA50:BA68)</f>
        <v/>
      </c>
      <c r="BA95" s="307" t="inlineStr">
        <is>
          <t>G</t>
        </is>
      </c>
      <c r="BB95" s="307">
        <f>SUM(BC50:BC68)</f>
        <v/>
      </c>
      <c r="BC95" s="307" t="inlineStr">
        <is>
          <t>G</t>
        </is>
      </c>
      <c r="BD95" s="307">
        <f>SUM(BE50:BE68)</f>
        <v/>
      </c>
      <c r="BE95" s="307" t="inlineStr">
        <is>
          <t>G</t>
        </is>
      </c>
      <c r="BF95" s="307">
        <f>SUM(BG50:BG68)</f>
        <v/>
      </c>
      <c r="BG95" s="306" t="inlineStr">
        <is>
          <t>G</t>
        </is>
      </c>
      <c r="BH95" s="306">
        <f>SUM(BI50:BI68)</f>
        <v/>
      </c>
      <c r="BI95" s="306" t="inlineStr">
        <is>
          <t>G</t>
        </is>
      </c>
      <c r="BJ95" s="306">
        <f>SUM(BK50:BK68)</f>
        <v/>
      </c>
      <c r="BK95" s="306" t="inlineStr">
        <is>
          <t>G</t>
        </is>
      </c>
      <c r="BL95" s="306">
        <f>SUM(BM50:BM68)</f>
        <v/>
      </c>
      <c r="BM95" s="307" t="inlineStr">
        <is>
          <t>G</t>
        </is>
      </c>
      <c r="BN95" s="307">
        <f>SUM(BO50:BO68)</f>
        <v/>
      </c>
      <c r="BO95" s="307" t="inlineStr">
        <is>
          <t>G</t>
        </is>
      </c>
      <c r="BP95" s="307">
        <f>SUM(BQ50:BQ68)</f>
        <v/>
      </c>
      <c r="BQ95" s="307" t="inlineStr">
        <is>
          <t>G</t>
        </is>
      </c>
      <c r="BR95" s="307">
        <f>SUM(BS50:BS68)</f>
        <v/>
      </c>
      <c r="BS95" s="310" t="inlineStr">
        <is>
          <t>G</t>
        </is>
      </c>
      <c r="BT95" s="310">
        <f>SUM(BU50:BU68)</f>
        <v/>
      </c>
      <c r="BU95" s="310" t="inlineStr">
        <is>
          <t>G</t>
        </is>
      </c>
      <c r="BV95" s="310">
        <f>SUM(BW50:BW68)</f>
        <v/>
      </c>
      <c r="BW95" s="310" t="inlineStr">
        <is>
          <t>G</t>
        </is>
      </c>
      <c r="BX95" s="310">
        <f>SUM(BY50:BY68)</f>
        <v/>
      </c>
      <c r="BY95" s="307" t="inlineStr">
        <is>
          <t>G</t>
        </is>
      </c>
      <c r="BZ95" s="307">
        <f>SUM(CA50:CA68)</f>
        <v/>
      </c>
      <c r="CA95" s="307" t="inlineStr">
        <is>
          <t>G</t>
        </is>
      </c>
      <c r="CB95" s="307">
        <f>SUM(CC50:CC68)</f>
        <v/>
      </c>
      <c r="CC95" s="307" t="inlineStr">
        <is>
          <t>G</t>
        </is>
      </c>
      <c r="CD95" s="307">
        <f>SUM(CE50:CE68)</f>
        <v/>
      </c>
    </row>
    <row r="96">
      <c r="T96" s="306" t="inlineStr">
        <is>
          <t>FO</t>
        </is>
      </c>
      <c r="U96" s="306">
        <f>SUM(V69:V91)</f>
        <v/>
      </c>
      <c r="V96" s="306" t="inlineStr">
        <is>
          <t>FO</t>
        </is>
      </c>
      <c r="W96" s="306">
        <f>SUM(X69:X91)</f>
        <v/>
      </c>
      <c r="X96" s="306" t="inlineStr">
        <is>
          <t>FO</t>
        </is>
      </c>
      <c r="Y96" s="306">
        <f>SUM(Z69:Z91)</f>
        <v/>
      </c>
      <c r="Z96" s="307" t="inlineStr">
        <is>
          <t>FO</t>
        </is>
      </c>
      <c r="AA96" s="307">
        <f>SUM(AB69:AB91)</f>
        <v/>
      </c>
      <c r="AB96" s="307" t="inlineStr">
        <is>
          <t>FO</t>
        </is>
      </c>
      <c r="AC96" s="307">
        <f>SUM(AD69:AD91)</f>
        <v/>
      </c>
      <c r="AD96" s="307" t="inlineStr">
        <is>
          <t>FO</t>
        </is>
      </c>
      <c r="AE96" s="307">
        <f>SUM(AF69:AF91)</f>
        <v/>
      </c>
      <c r="AF96" s="309" t="inlineStr">
        <is>
          <t>FO</t>
        </is>
      </c>
      <c r="AG96" s="310">
        <f>SUM(AH69:AH91)</f>
        <v/>
      </c>
      <c r="AH96" s="310" t="inlineStr">
        <is>
          <t>FO</t>
        </is>
      </c>
      <c r="AI96" s="310">
        <f>SUM(AJ69:AJ91)</f>
        <v/>
      </c>
      <c r="AJ96" s="310" t="inlineStr">
        <is>
          <t>FO</t>
        </is>
      </c>
      <c r="AK96" s="310">
        <f>SUM(AL69:AL91)</f>
        <v/>
      </c>
      <c r="AM96" s="307" t="inlineStr">
        <is>
          <t>FO</t>
        </is>
      </c>
      <c r="AN96" s="307">
        <f>SUM(AO69:AO91)</f>
        <v/>
      </c>
      <c r="AO96" s="307" t="inlineStr">
        <is>
          <t>FO</t>
        </is>
      </c>
      <c r="AP96" s="307">
        <f>SUM(AQ69:AQ91)</f>
        <v/>
      </c>
      <c r="AQ96" s="307" t="inlineStr">
        <is>
          <t>FO</t>
        </is>
      </c>
      <c r="AR96" s="307">
        <f>SUM(AS69:AS91)</f>
        <v/>
      </c>
      <c r="AT96" s="443" t="n"/>
      <c r="AU96" s="306" t="inlineStr">
        <is>
          <t>FO</t>
        </is>
      </c>
      <c r="AV96" s="306">
        <f>SUM(AW69:AW91)</f>
        <v/>
      </c>
      <c r="AW96" s="306" t="inlineStr">
        <is>
          <t>FO</t>
        </is>
      </c>
      <c r="AX96" s="306">
        <f>SUM(AY69:AY91)</f>
        <v/>
      </c>
      <c r="AY96" s="306" t="inlineStr">
        <is>
          <t>FO</t>
        </is>
      </c>
      <c r="AZ96" s="306">
        <f>SUM(BA69:BA91)</f>
        <v/>
      </c>
      <c r="BA96" s="307" t="inlineStr">
        <is>
          <t>FO</t>
        </is>
      </c>
      <c r="BB96" s="307">
        <f>SUM(BC69:BC91)</f>
        <v/>
      </c>
      <c r="BC96" s="307" t="inlineStr">
        <is>
          <t>FO</t>
        </is>
      </c>
      <c r="BD96" s="307">
        <f>SUM(BE69:BE91)</f>
        <v/>
      </c>
      <c r="BE96" s="307" t="inlineStr">
        <is>
          <t>FO</t>
        </is>
      </c>
      <c r="BF96" s="307">
        <f>SUM(BG69:BG91)</f>
        <v/>
      </c>
      <c r="BG96" s="306" t="inlineStr">
        <is>
          <t>FO</t>
        </is>
      </c>
      <c r="BH96" s="306">
        <f>SUM(BI69:BI91)</f>
        <v/>
      </c>
      <c r="BI96" s="306" t="inlineStr">
        <is>
          <t>FO</t>
        </is>
      </c>
      <c r="BJ96" s="306">
        <f>SUM(BK69:BK91)</f>
        <v/>
      </c>
      <c r="BK96" s="306" t="inlineStr">
        <is>
          <t>FO</t>
        </is>
      </c>
      <c r="BL96" s="306">
        <f>SUM(BM69:BM91)</f>
        <v/>
      </c>
      <c r="BM96" s="307" t="inlineStr">
        <is>
          <t>FO</t>
        </is>
      </c>
      <c r="BN96" s="307">
        <f>SUM(BO69:BO91)</f>
        <v/>
      </c>
      <c r="BO96" s="307" t="inlineStr">
        <is>
          <t>FO</t>
        </is>
      </c>
      <c r="BP96" s="307">
        <f>SUM(BQ69:BQ91)</f>
        <v/>
      </c>
      <c r="BQ96" s="307" t="inlineStr">
        <is>
          <t>FO</t>
        </is>
      </c>
      <c r="BR96" s="307">
        <f>SUM(BS69:BS91)</f>
        <v/>
      </c>
      <c r="BS96" s="310" t="inlineStr">
        <is>
          <t>FO</t>
        </is>
      </c>
      <c r="BT96" s="310">
        <f>SUM(BU69:BU91)</f>
        <v/>
      </c>
      <c r="BU96" s="310" t="inlineStr">
        <is>
          <t>FO</t>
        </is>
      </c>
      <c r="BV96" s="310">
        <f>SUM(BW69:BW91)</f>
        <v/>
      </c>
      <c r="BW96" s="310" t="inlineStr">
        <is>
          <t>FO</t>
        </is>
      </c>
      <c r="BX96" s="310">
        <f>SUM(BY69:BY91)</f>
        <v/>
      </c>
      <c r="BY96" s="307" t="inlineStr">
        <is>
          <t>FO</t>
        </is>
      </c>
      <c r="BZ96" s="307">
        <f>SUM(CA69:CA91)</f>
        <v/>
      </c>
      <c r="CA96" s="307" t="inlineStr">
        <is>
          <t>FO</t>
        </is>
      </c>
      <c r="CB96" s="307">
        <f>SUM(CC69:CC91)</f>
        <v/>
      </c>
      <c r="CC96" s="307" t="inlineStr">
        <is>
          <t>FO</t>
        </is>
      </c>
      <c r="CD96" s="307">
        <f>SUM(CE69:CE91)</f>
        <v/>
      </c>
    </row>
    <row r="97" ht="30" customHeight="1" s="452">
      <c r="T97" s="306" t="inlineStr">
        <is>
          <t>SS Sağlama</t>
        </is>
      </c>
      <c r="U97" s="306">
        <f>U93*G4+U94*G46+U95*G67+U96*G91</f>
        <v/>
      </c>
      <c r="V97" s="306" t="inlineStr">
        <is>
          <t>SS Sağlama</t>
        </is>
      </c>
      <c r="W97" s="306">
        <f>W93*G4+W94*G46+W95*G67+W96*G91</f>
        <v/>
      </c>
      <c r="X97" s="306" t="inlineStr">
        <is>
          <t>SS Sağlama</t>
        </is>
      </c>
      <c r="Y97" s="306">
        <f>Y93*G4+Y94*G46+Y95*G67+Y96*G91</f>
        <v/>
      </c>
      <c r="Z97" s="307" t="inlineStr">
        <is>
          <t>SS Sağlama</t>
        </is>
      </c>
      <c r="AA97" s="307">
        <f>AA93*$D$4+AA94*$D$46+AA95*$D$67+AA96*+$D$91</f>
        <v/>
      </c>
      <c r="AB97" s="307" t="inlineStr">
        <is>
          <t>SS Sağlama</t>
        </is>
      </c>
      <c r="AC97" s="307">
        <f>AC93*$D$4+AC94*$D$46+AC95*$D$67+AC96*+$D$91</f>
        <v/>
      </c>
      <c r="AD97" s="307" t="inlineStr">
        <is>
          <t>SS Sağlama</t>
        </is>
      </c>
      <c r="AE97" s="307">
        <f>AE93*$D$4+AE94*$D$46+AE95*$D$67+AE96*+$D$91</f>
        <v/>
      </c>
      <c r="AF97" s="310" t="inlineStr">
        <is>
          <t>SS Sağlama</t>
        </is>
      </c>
      <c r="AG97" s="309">
        <f>AG93*0.25+AG94*0.25+AG95*0.25+AG96*0.25</f>
        <v/>
      </c>
      <c r="AH97" s="310" t="inlineStr">
        <is>
          <t>SS Sağlama</t>
        </is>
      </c>
      <c r="AI97" s="309">
        <f>AI93*0.25+AI94*0.25+AI95*0.25+AI96*0.25</f>
        <v/>
      </c>
      <c r="AJ97" s="310" t="inlineStr">
        <is>
          <t>SS Sağlama</t>
        </is>
      </c>
      <c r="AK97" s="309">
        <f>AK93*0.25+AK94*0.25+AK95*0.25+AK96*0.25</f>
        <v/>
      </c>
      <c r="AM97" s="307" t="inlineStr">
        <is>
          <t>SS Sağlama</t>
        </is>
      </c>
      <c r="AN97" s="311">
        <f>AN93*0.25+AN94*0.25+AN95*0.25+AN96*0.25</f>
        <v/>
      </c>
      <c r="AO97" s="307" t="inlineStr">
        <is>
          <t>SS Sağlama</t>
        </is>
      </c>
      <c r="AP97" s="311">
        <f>AP93*0.25+AP94*0.25+AP95*0.25+AP96*0.25</f>
        <v/>
      </c>
      <c r="AQ97" s="307" t="inlineStr">
        <is>
          <t>SS Sağlama</t>
        </is>
      </c>
      <c r="AR97" s="311">
        <f>AR93*0.25+AR94*0.25+AR95*0.25+AR96*0.25</f>
        <v/>
      </c>
      <c r="AT97" s="443" t="n"/>
      <c r="AU97" s="306" t="inlineStr">
        <is>
          <t>SS Sağlama</t>
        </is>
      </c>
      <c r="AV97" s="308">
        <f>AV93*0.25+AV94*0.25+AV95*0.25+AV96*0.25</f>
        <v/>
      </c>
      <c r="AW97" s="306" t="inlineStr">
        <is>
          <t>SS Sağlama</t>
        </is>
      </c>
      <c r="AX97" s="308">
        <f>AX93*0.25+AX94*0.25+AX95*0.25+AX96*0.25</f>
        <v/>
      </c>
      <c r="AY97" s="306" t="inlineStr">
        <is>
          <t>SS Sağlama</t>
        </is>
      </c>
      <c r="AZ97" s="308">
        <f>AZ93*0.25+AZ94*0.25+AZ95*0.25+AZ96*0.25</f>
        <v/>
      </c>
      <c r="BA97" s="307" t="inlineStr">
        <is>
          <t>SS Sağlama</t>
        </is>
      </c>
      <c r="BB97" s="311">
        <f>BB93*0.4+BB94*0.2+BB95*0.2+BB96*0.25</f>
        <v/>
      </c>
      <c r="BC97" s="307" t="inlineStr">
        <is>
          <t>SS Sağlama</t>
        </is>
      </c>
      <c r="BD97" s="311">
        <f>BD93*0.4+BD94*0.2+BD95*0.2+BD96*0.25</f>
        <v/>
      </c>
      <c r="BE97" s="307" t="inlineStr">
        <is>
          <t>SS Sağlama</t>
        </is>
      </c>
      <c r="BF97" s="311">
        <f>BF93*0.4+BF94*0.2+BF95*0.2+BF96*0.25</f>
        <v/>
      </c>
      <c r="BG97" s="306" t="inlineStr">
        <is>
          <t>SS Sağlama</t>
        </is>
      </c>
      <c r="BH97" s="308">
        <f>BH93*0.2+BH94*0.4+BH95*0.2+BH96*0.2</f>
        <v/>
      </c>
      <c r="BI97" s="306" t="inlineStr">
        <is>
          <t>SS Sağlama</t>
        </is>
      </c>
      <c r="BJ97" s="308">
        <f>BJ93*0.2+BJ94*0.4+BJ95*0.2+BJ96*0.2</f>
        <v/>
      </c>
      <c r="BK97" s="306" t="inlineStr">
        <is>
          <t>SS Sağlama</t>
        </is>
      </c>
      <c r="BL97" s="308">
        <f>BL93*0.2+BL94*0.4+BL95*0.2+BL96*0.2</f>
        <v/>
      </c>
      <c r="BM97" s="307" t="inlineStr">
        <is>
          <t>SS Sağlama</t>
        </is>
      </c>
      <c r="BN97" s="311">
        <f>BN93*0.2+BN94*0.2+BN95*0.4+BN96*0.2</f>
        <v/>
      </c>
      <c r="BO97" s="307" t="inlineStr">
        <is>
          <t>SS Sağlama</t>
        </is>
      </c>
      <c r="BP97" s="311">
        <f>BP93*0.2+BP94*0.2+BP95*0.4+BP96*0.2</f>
        <v/>
      </c>
      <c r="BQ97" s="307" t="inlineStr">
        <is>
          <t>SS Sağlama</t>
        </is>
      </c>
      <c r="BR97" s="311">
        <f>BR93*0.2+BR94*0.2+BR95*0.4+BR96*0.2</f>
        <v/>
      </c>
      <c r="BS97" s="310" t="inlineStr">
        <is>
          <t>SS Sağlama</t>
        </is>
      </c>
      <c r="BT97" s="309">
        <f>BT93*0.2+BT94*0.2+BT95*0.2+BT96*0.4</f>
        <v/>
      </c>
      <c r="BU97" s="310" t="inlineStr">
        <is>
          <t>SS Sağlama</t>
        </is>
      </c>
      <c r="BV97" s="309">
        <f>BV93*0.2+BV94*0.2+BV95*0.2+BV96*0.4</f>
        <v/>
      </c>
      <c r="BW97" s="310" t="inlineStr">
        <is>
          <t>SS Sağlama</t>
        </is>
      </c>
      <c r="BX97" s="309">
        <f>BX93*0.2+BX94*0.2+BX95*0.2+BX96*0.4</f>
        <v/>
      </c>
      <c r="BY97" s="307" t="inlineStr">
        <is>
          <t>SS Sağlama</t>
        </is>
      </c>
      <c r="BZ97" s="311">
        <f>BZ93*0.34+BZ94*0.33+BZ95*0.33+BZ96*0</f>
        <v/>
      </c>
      <c r="CA97" s="307" t="inlineStr">
        <is>
          <t>SS Sağlama</t>
        </is>
      </c>
      <c r="CB97" s="311">
        <f>CB93*0.34+CB94*0.33+CB95*0.33+CB96*0</f>
        <v/>
      </c>
      <c r="CC97" s="307" t="inlineStr">
        <is>
          <t>SS Sağlama</t>
        </is>
      </c>
      <c r="CD97" s="311">
        <f>CD93*0.34+CD94*0.33+CD95*0.33+CD96*0</f>
        <v/>
      </c>
    </row>
  </sheetData>
  <mergeCells count="24">
    <mergeCell ref="AV2:BA2"/>
    <mergeCell ref="U2:Z2"/>
    <mergeCell ref="AN1:AS1"/>
    <mergeCell ref="AG2:AL2"/>
    <mergeCell ref="BH2:BM2"/>
    <mergeCell ref="BB1:BG1"/>
    <mergeCell ref="BT2:BY2"/>
    <mergeCell ref="D2:E2"/>
    <mergeCell ref="AN2:AS2"/>
    <mergeCell ref="BH1:BM1"/>
    <mergeCell ref="BN1:BS1"/>
    <mergeCell ref="G2:J2"/>
    <mergeCell ref="BZ1:CE1"/>
    <mergeCell ref="AA2:AF2"/>
    <mergeCell ref="BT1:BY1"/>
    <mergeCell ref="BB2:BG2"/>
    <mergeCell ref="R2:T2"/>
    <mergeCell ref="U1:Z1"/>
    <mergeCell ref="BN2:BS2"/>
    <mergeCell ref="L2:Q2"/>
    <mergeCell ref="AA1:AF1"/>
    <mergeCell ref="AG1:AL1"/>
    <mergeCell ref="BZ2:CE2"/>
    <mergeCell ref="AT1:BA1"/>
  </mergeCells>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A1:L20"/>
  <sheetViews>
    <sheetView workbookViewId="0">
      <selection activeCell="H25" sqref="H25"/>
    </sheetView>
  </sheetViews>
  <sheetFormatPr baseColWidth="8" defaultRowHeight="15"/>
  <cols>
    <col width="14" bestFit="1" customWidth="1" style="452" min="1" max="1"/>
    <col width="14" customWidth="1" style="452" min="2" max="2"/>
    <col width="10.28515625" customWidth="1" style="452" min="3" max="3"/>
    <col width="9.7109375" customWidth="1" style="452" min="4" max="4"/>
    <col width="25.7109375" bestFit="1" customWidth="1" style="452" min="5" max="5"/>
    <col width="24.28515625" bestFit="1" customWidth="1" style="452" min="6" max="6"/>
    <col width="29.7109375" customWidth="1" style="452" min="7" max="7"/>
    <col width="26.28515625" customWidth="1" style="452" min="8" max="8"/>
    <col width="29.85546875" bestFit="1" customWidth="1" style="452" min="9" max="9"/>
    <col width="32.28515625" bestFit="1" customWidth="1" style="452" min="10" max="10"/>
    <col width="27.28515625" bestFit="1" customWidth="1" style="452" min="11" max="11"/>
  </cols>
  <sheetData>
    <row r="1" ht="15.75" customHeight="1" s="452" thickBot="1">
      <c r="B1" t="inlineStr">
        <is>
          <t>E:S:G:FO</t>
        </is>
      </c>
      <c r="C1" s="267" t="inlineStr">
        <is>
          <t>56:24:13:7</t>
        </is>
      </c>
      <c r="D1" t="inlineStr">
        <is>
          <t>65:19:10:6</t>
        </is>
      </c>
      <c r="E1" t="inlineStr">
        <is>
          <t>25:25:25:25</t>
        </is>
      </c>
      <c r="F1" t="inlineStr">
        <is>
          <t>25:25:25:25</t>
        </is>
      </c>
      <c r="G1" t="inlineStr">
        <is>
          <t>25:25:25:25</t>
        </is>
      </c>
      <c r="H1" t="inlineStr">
        <is>
          <t>40:20:20:20</t>
        </is>
      </c>
      <c r="I1" t="inlineStr">
        <is>
          <t>20:40:20:20</t>
        </is>
      </c>
      <c r="J1" t="inlineStr">
        <is>
          <t>20:20:40:20</t>
        </is>
      </c>
      <c r="K1" t="inlineStr">
        <is>
          <t>20:20:20:40</t>
        </is>
      </c>
      <c r="L1" t="inlineStr">
        <is>
          <t>34:33:33:0</t>
        </is>
      </c>
    </row>
    <row r="2" ht="42" customFormat="1" customHeight="1" s="268" thickBot="1">
      <c r="C2" s="323" t="inlineStr">
        <is>
          <t>Senaryo 1 (Yeni AHP)</t>
        </is>
      </c>
      <c r="D2" s="323" t="inlineStr">
        <is>
          <t>Senaryo 2 (Makale)</t>
        </is>
      </c>
      <c r="E2" s="323" t="inlineStr">
        <is>
          <t>Senaryo 3    (Dört ana bloğa eşit ağırlık - diğer ağırlıklar AHP değerleri)</t>
        </is>
      </c>
      <c r="F2" s="323" t="inlineStr">
        <is>
          <t>Senaryo 4 (Dört ana bloğa ve  alt gruplara eşit ağırlık göstergelere AHP değerleri)</t>
        </is>
      </c>
      <c r="G2" s="323" t="inlineStr">
        <is>
          <t>Senaryo 5 (Dört ana bloğa;  alt gruplara ve göstergelere eşit ağırlık)</t>
        </is>
      </c>
      <c r="H2" s="323" t="inlineStr">
        <is>
          <t>Senaryo 6 (Çevre ağırlığı artırılmış; alt gruplar ve göstergeler AHP)</t>
        </is>
      </c>
      <c r="I2" s="334" t="inlineStr">
        <is>
          <t>Senaryo 7 (Sosyal ağırlığı artırılmış ; alt gruplar ve göstergeler AHP)</t>
        </is>
      </c>
      <c r="J2" s="323" t="inlineStr">
        <is>
          <t>Senaryo 8(Yönetişim ağırlığı artırılmış ; alt gruplar ve göstergeler AHP)</t>
        </is>
      </c>
      <c r="K2" s="335" t="inlineStr">
        <is>
          <t>Senaryo 9(FO ağırlığı artırılmış ; alt gruplar ve göstergeler AHP)</t>
        </is>
      </c>
      <c r="L2" s="323" t="inlineStr">
        <is>
          <t>Senaryo 10(ESG Modeli; alt gruplar ve göstergeler AHP)</t>
        </is>
      </c>
    </row>
    <row r="3">
      <c r="A3" s="467" t="inlineStr">
        <is>
          <t>Ceylanpınar</t>
        </is>
      </c>
      <c r="B3" s="313" t="inlineStr">
        <is>
          <t>BSS</t>
        </is>
      </c>
      <c r="C3" s="324">
        <f>'AHP ve BSS'!U92</f>
        <v/>
      </c>
      <c r="D3" s="324">
        <f>'AHP ve BSS'!AA92</f>
        <v/>
      </c>
      <c r="E3" s="324">
        <f>'AHP ve BSS'!AG92</f>
        <v/>
      </c>
      <c r="F3" s="324">
        <f>'AHP ve BSS'!AN92</f>
        <v/>
      </c>
      <c r="G3" s="324">
        <f>'AHP ve BSS'!AV92</f>
        <v/>
      </c>
      <c r="H3" s="324">
        <f>'AHP ve BSS'!BB92</f>
        <v/>
      </c>
      <c r="I3" s="329">
        <f>'AHP ve BSS'!BH92</f>
        <v/>
      </c>
      <c r="J3" s="324">
        <f>'AHP ve BSS'!BN92</f>
        <v/>
      </c>
      <c r="K3" s="314">
        <f>'AHP ve BSS'!BT92</f>
        <v/>
      </c>
      <c r="L3" s="324">
        <f>'AHP ve BSS'!BZ92</f>
        <v/>
      </c>
    </row>
    <row r="4">
      <c r="A4" s="354" t="n"/>
      <c r="B4" s="315" t="inlineStr">
        <is>
          <t>E</t>
        </is>
      </c>
      <c r="C4" s="325">
        <f>'AHP ve BSS'!U93</f>
        <v/>
      </c>
      <c r="D4" s="325">
        <f>'AHP ve BSS'!AA93</f>
        <v/>
      </c>
      <c r="E4" s="325">
        <f>'AHP ve BSS'!AG93</f>
        <v/>
      </c>
      <c r="F4" s="325">
        <f>'AHP ve BSS'!AN93</f>
        <v/>
      </c>
      <c r="G4" s="325">
        <f>'AHP ve BSS'!AV93</f>
        <v/>
      </c>
      <c r="H4" s="325">
        <f>'AHP ve BSS'!BB93</f>
        <v/>
      </c>
      <c r="I4" s="330">
        <f>'AHP ve BSS'!BH93</f>
        <v/>
      </c>
      <c r="J4" s="325">
        <f>'AHP ve BSS'!BN93</f>
        <v/>
      </c>
      <c r="K4" s="316">
        <f>'AHP ve BSS'!BT93</f>
        <v/>
      </c>
      <c r="L4" s="325">
        <f>'AHP ve BSS'!BZ93</f>
        <v/>
      </c>
    </row>
    <row r="5">
      <c r="A5" s="354" t="n"/>
      <c r="B5" s="317" t="inlineStr">
        <is>
          <t>S</t>
        </is>
      </c>
      <c r="C5" s="326">
        <f>'AHP ve BSS'!U94</f>
        <v/>
      </c>
      <c r="D5" s="326">
        <f>'AHP ve BSS'!AA94</f>
        <v/>
      </c>
      <c r="E5" s="326">
        <f>'AHP ve BSS'!AG94</f>
        <v/>
      </c>
      <c r="F5" s="326">
        <f>'AHP ve BSS'!AN94</f>
        <v/>
      </c>
      <c r="G5" s="326">
        <f>'AHP ve BSS'!AV94</f>
        <v/>
      </c>
      <c r="H5" s="326">
        <f>'AHP ve BSS'!BB94</f>
        <v/>
      </c>
      <c r="I5" s="331">
        <f>'AHP ve BSS'!BH94</f>
        <v/>
      </c>
      <c r="J5" s="326">
        <f>'AHP ve BSS'!BN94</f>
        <v/>
      </c>
      <c r="K5" s="318">
        <f>'AHP ve BSS'!BT94</f>
        <v/>
      </c>
      <c r="L5" s="326">
        <f>'AHP ve BSS'!BZ94</f>
        <v/>
      </c>
    </row>
    <row r="6">
      <c r="A6" s="354" t="n"/>
      <c r="B6" s="319" t="inlineStr">
        <is>
          <t>G</t>
        </is>
      </c>
      <c r="C6" s="327">
        <f>'AHP ve BSS'!U95</f>
        <v/>
      </c>
      <c r="D6" s="327">
        <f>'AHP ve BSS'!AA95</f>
        <v/>
      </c>
      <c r="E6" s="327">
        <f>'AHP ve BSS'!AG95</f>
        <v/>
      </c>
      <c r="F6" s="327">
        <f>'AHP ve BSS'!AN95</f>
        <v/>
      </c>
      <c r="G6" s="327">
        <f>'AHP ve BSS'!AV95</f>
        <v/>
      </c>
      <c r="H6" s="327">
        <f>'AHP ve BSS'!BB95</f>
        <v/>
      </c>
      <c r="I6" s="332">
        <f>'AHP ve BSS'!BH95</f>
        <v/>
      </c>
      <c r="J6" s="327">
        <f>'AHP ve BSS'!BN95</f>
        <v/>
      </c>
      <c r="K6" s="320">
        <f>'AHP ve BSS'!BT95</f>
        <v/>
      </c>
      <c r="L6" s="327">
        <f>'AHP ve BSS'!BZ95</f>
        <v/>
      </c>
    </row>
    <row r="7" ht="15.75" customHeight="1" s="452" thickBot="1">
      <c r="A7" s="468" t="n"/>
      <c r="B7" s="321" t="inlineStr">
        <is>
          <t>FO</t>
        </is>
      </c>
      <c r="C7" s="328">
        <f>'AHP ve BSS'!U96</f>
        <v/>
      </c>
      <c r="D7" s="328">
        <f>'AHP ve BSS'!AA96</f>
        <v/>
      </c>
      <c r="E7" s="328">
        <f>'AHP ve BSS'!AG96</f>
        <v/>
      </c>
      <c r="F7" s="328">
        <f>'AHP ve BSS'!AN96</f>
        <v/>
      </c>
      <c r="G7" s="328">
        <f>'AHP ve BSS'!AV96</f>
        <v/>
      </c>
      <c r="H7" s="328">
        <f>'AHP ve BSS'!BB96</f>
        <v/>
      </c>
      <c r="I7" s="333">
        <f>'AHP ve BSS'!BH96</f>
        <v/>
      </c>
      <c r="J7" s="328">
        <f>'AHP ve BSS'!BN96</f>
        <v/>
      </c>
      <c r="K7" s="322">
        <f>'AHP ve BSS'!BT96</f>
        <v/>
      </c>
      <c r="L7" s="328">
        <f>'AHP ve BSS'!BZ96</f>
        <v/>
      </c>
    </row>
    <row r="8">
      <c r="A8" s="467" t="inlineStr">
        <is>
          <t>Karacabey</t>
        </is>
      </c>
      <c r="B8" s="313" t="inlineStr">
        <is>
          <t>BSS</t>
        </is>
      </c>
      <c r="C8" s="324">
        <f>'AHP ve BSS'!W92</f>
        <v/>
      </c>
      <c r="D8" s="324">
        <f>'AHP ve BSS'!AC92</f>
        <v/>
      </c>
      <c r="E8" s="324">
        <f>'AHP ve BSS'!AI92</f>
        <v/>
      </c>
      <c r="F8" s="324">
        <f>'AHP ve BSS'!AP92</f>
        <v/>
      </c>
      <c r="G8" s="324">
        <f>'AHP ve BSS'!AX92</f>
        <v/>
      </c>
      <c r="H8" s="324">
        <f>'AHP ve BSS'!BD92</f>
        <v/>
      </c>
      <c r="I8" s="329">
        <f>'AHP ve BSS'!BJ92</f>
        <v/>
      </c>
      <c r="J8" s="324">
        <f>'AHP ve BSS'!BP92</f>
        <v/>
      </c>
      <c r="K8" s="314">
        <f>'AHP ve BSS'!BV92</f>
        <v/>
      </c>
      <c r="L8" s="324">
        <f>'AHP ve BSS'!CB92</f>
        <v/>
      </c>
    </row>
    <row r="9">
      <c r="A9" s="354" t="n"/>
      <c r="B9" s="315" t="inlineStr">
        <is>
          <t>E</t>
        </is>
      </c>
      <c r="C9" s="325">
        <f>'AHP ve BSS'!W93</f>
        <v/>
      </c>
      <c r="D9" s="325">
        <f>'AHP ve BSS'!AC93</f>
        <v/>
      </c>
      <c r="E9" s="325">
        <f>'AHP ve BSS'!AI93</f>
        <v/>
      </c>
      <c r="F9" s="325">
        <f>'AHP ve BSS'!AP93</f>
        <v/>
      </c>
      <c r="G9" s="325">
        <f>'AHP ve BSS'!AX93</f>
        <v/>
      </c>
      <c r="H9" s="325">
        <f>'AHP ve BSS'!BD93</f>
        <v/>
      </c>
      <c r="I9" s="330">
        <f>'AHP ve BSS'!BJ93</f>
        <v/>
      </c>
      <c r="J9" s="325">
        <f>'AHP ve BSS'!BP93</f>
        <v/>
      </c>
      <c r="K9" s="316">
        <f>'AHP ve BSS'!BV93</f>
        <v/>
      </c>
      <c r="L9" s="325">
        <f>'AHP ve BSS'!CB93</f>
        <v/>
      </c>
    </row>
    <row r="10">
      <c r="A10" s="354" t="n"/>
      <c r="B10" s="317" t="inlineStr">
        <is>
          <t>S</t>
        </is>
      </c>
      <c r="C10" s="326">
        <f>'AHP ve BSS'!W94</f>
        <v/>
      </c>
      <c r="D10" s="326">
        <f>'AHP ve BSS'!AC94</f>
        <v/>
      </c>
      <c r="E10" s="326">
        <f>'AHP ve BSS'!AI94</f>
        <v/>
      </c>
      <c r="F10" s="326">
        <f>'AHP ve BSS'!AP94</f>
        <v/>
      </c>
      <c r="G10" s="326">
        <f>'AHP ve BSS'!AX94</f>
        <v/>
      </c>
      <c r="H10" s="326">
        <f>'AHP ve BSS'!BD94</f>
        <v/>
      </c>
      <c r="I10" s="331">
        <f>'AHP ve BSS'!BJ94</f>
        <v/>
      </c>
      <c r="J10" s="326">
        <f>'AHP ve BSS'!BP94</f>
        <v/>
      </c>
      <c r="K10" s="318">
        <f>'AHP ve BSS'!BV94</f>
        <v/>
      </c>
      <c r="L10" s="326">
        <f>'AHP ve BSS'!CB94</f>
        <v/>
      </c>
    </row>
    <row r="11">
      <c r="A11" s="354" t="n"/>
      <c r="B11" s="319" t="inlineStr">
        <is>
          <t>G</t>
        </is>
      </c>
      <c r="C11" s="327">
        <f>'AHP ve BSS'!W95</f>
        <v/>
      </c>
      <c r="D11" s="327">
        <f>'AHP ve BSS'!AC95</f>
        <v/>
      </c>
      <c r="E11" s="327">
        <f>'AHP ve BSS'!AI95</f>
        <v/>
      </c>
      <c r="F11" s="327">
        <f>'AHP ve BSS'!AP95</f>
        <v/>
      </c>
      <c r="G11" s="327">
        <f>'AHP ve BSS'!AX95</f>
        <v/>
      </c>
      <c r="H11" s="327">
        <f>'AHP ve BSS'!BD95</f>
        <v/>
      </c>
      <c r="I11" s="332">
        <f>'AHP ve BSS'!BJ95</f>
        <v/>
      </c>
      <c r="J11" s="327">
        <f>'AHP ve BSS'!BP95</f>
        <v/>
      </c>
      <c r="K11" s="320">
        <f>'AHP ve BSS'!BV95</f>
        <v/>
      </c>
      <c r="L11" s="327">
        <f>'AHP ve BSS'!CB95</f>
        <v/>
      </c>
    </row>
    <row r="12" ht="15.75" customHeight="1" s="452" thickBot="1">
      <c r="A12" s="468" t="n"/>
      <c r="B12" s="321" t="inlineStr">
        <is>
          <t>FO</t>
        </is>
      </c>
      <c r="C12" s="328">
        <f>'AHP ve BSS'!W96</f>
        <v/>
      </c>
      <c r="D12" s="328">
        <f>'AHP ve BSS'!AC96</f>
        <v/>
      </c>
      <c r="E12" s="328">
        <f>'AHP ve BSS'!AI96</f>
        <v/>
      </c>
      <c r="F12" s="328">
        <f>'AHP ve BSS'!AP96</f>
        <v/>
      </c>
      <c r="G12" s="328">
        <f>'AHP ve BSS'!AX96</f>
        <v/>
      </c>
      <c r="H12" s="328">
        <f>'AHP ve BSS'!BD96</f>
        <v/>
      </c>
      <c r="I12" s="333">
        <f>'AHP ve BSS'!BJ96</f>
        <v/>
      </c>
      <c r="J12" s="328">
        <f>'AHP ve BSS'!BP96</f>
        <v/>
      </c>
      <c r="K12" s="322">
        <f>'AHP ve BSS'!BV96</f>
        <v/>
      </c>
      <c r="L12" s="328">
        <f>'AHP ve BSS'!CB96</f>
        <v/>
      </c>
    </row>
    <row r="13">
      <c r="A13" s="467" t="inlineStr">
        <is>
          <t>Gözlü</t>
        </is>
      </c>
      <c r="B13" s="313" t="inlineStr">
        <is>
          <t>BSS</t>
        </is>
      </c>
      <c r="C13" s="324">
        <f>'AHP ve BSS'!Y92</f>
        <v/>
      </c>
      <c r="D13" s="324">
        <f>'AHP ve BSS'!AE92</f>
        <v/>
      </c>
      <c r="E13" s="324">
        <f>'AHP ve BSS'!AK92</f>
        <v/>
      </c>
      <c r="F13" s="324">
        <f>'AHP ve BSS'!AR92</f>
        <v/>
      </c>
      <c r="G13" s="324">
        <f>'AHP ve BSS'!AZ92</f>
        <v/>
      </c>
      <c r="H13" s="324">
        <f>'AHP ve BSS'!BF92</f>
        <v/>
      </c>
      <c r="I13" s="329">
        <f>'AHP ve BSS'!BL92</f>
        <v/>
      </c>
      <c r="J13" s="324">
        <f>'AHP ve BSS'!BR92</f>
        <v/>
      </c>
      <c r="K13" s="314">
        <f>'AHP ve BSS'!BX92</f>
        <v/>
      </c>
      <c r="L13" s="324">
        <f>'AHP ve BSS'!CD92</f>
        <v/>
      </c>
    </row>
    <row r="14">
      <c r="A14" s="354" t="n"/>
      <c r="B14" s="315" t="inlineStr">
        <is>
          <t>E</t>
        </is>
      </c>
      <c r="C14" s="325">
        <f>'AHP ve BSS'!Y93</f>
        <v/>
      </c>
      <c r="D14" s="325">
        <f>'AHP ve BSS'!AE93</f>
        <v/>
      </c>
      <c r="E14" s="325">
        <f>'AHP ve BSS'!AK93</f>
        <v/>
      </c>
      <c r="F14" s="325">
        <f>'AHP ve BSS'!AR93</f>
        <v/>
      </c>
      <c r="G14" s="325">
        <f>'AHP ve BSS'!AZ93</f>
        <v/>
      </c>
      <c r="H14" s="325">
        <f>'AHP ve BSS'!BF93</f>
        <v/>
      </c>
      <c r="I14" s="330">
        <f>'AHP ve BSS'!BL93</f>
        <v/>
      </c>
      <c r="J14" s="325">
        <f>'AHP ve BSS'!BR93</f>
        <v/>
      </c>
      <c r="K14" s="316">
        <f>'AHP ve BSS'!BX93</f>
        <v/>
      </c>
      <c r="L14" s="325">
        <f>'AHP ve BSS'!CD93</f>
        <v/>
      </c>
    </row>
    <row r="15">
      <c r="A15" s="354" t="n"/>
      <c r="B15" s="317" t="inlineStr">
        <is>
          <t>S</t>
        </is>
      </c>
      <c r="C15" s="326">
        <f>'AHP ve BSS'!Y94</f>
        <v/>
      </c>
      <c r="D15" s="326">
        <f>'AHP ve BSS'!AE94</f>
        <v/>
      </c>
      <c r="E15" s="326">
        <f>'AHP ve BSS'!AK94</f>
        <v/>
      </c>
      <c r="F15" s="326">
        <f>'AHP ve BSS'!AR94</f>
        <v/>
      </c>
      <c r="G15" s="326">
        <f>'AHP ve BSS'!AZ94</f>
        <v/>
      </c>
      <c r="H15" s="326">
        <f>'AHP ve BSS'!BF94</f>
        <v/>
      </c>
      <c r="I15" s="331">
        <f>'AHP ve BSS'!BL94</f>
        <v/>
      </c>
      <c r="J15" s="326">
        <f>'AHP ve BSS'!BR94</f>
        <v/>
      </c>
      <c r="K15" s="318">
        <f>'AHP ve BSS'!BX94</f>
        <v/>
      </c>
      <c r="L15" s="326">
        <f>'AHP ve BSS'!CD94</f>
        <v/>
      </c>
    </row>
    <row r="16">
      <c r="A16" s="354" t="n"/>
      <c r="B16" s="319" t="inlineStr">
        <is>
          <t>G</t>
        </is>
      </c>
      <c r="C16" s="327">
        <f>'AHP ve BSS'!Y95</f>
        <v/>
      </c>
      <c r="D16" s="327">
        <f>'AHP ve BSS'!AE95</f>
        <v/>
      </c>
      <c r="E16" s="327">
        <f>'AHP ve BSS'!AK95</f>
        <v/>
      </c>
      <c r="F16" s="327">
        <f>'AHP ve BSS'!AR95</f>
        <v/>
      </c>
      <c r="G16" s="327">
        <f>'AHP ve BSS'!AZ95</f>
        <v/>
      </c>
      <c r="H16" s="327">
        <f>'AHP ve BSS'!BF95</f>
        <v/>
      </c>
      <c r="I16" s="332">
        <f>'AHP ve BSS'!BL95</f>
        <v/>
      </c>
      <c r="J16" s="327">
        <f>'AHP ve BSS'!BR95</f>
        <v/>
      </c>
      <c r="K16" s="320">
        <f>'AHP ve BSS'!BX95</f>
        <v/>
      </c>
      <c r="L16" s="327">
        <f>'AHP ve BSS'!CD95</f>
        <v/>
      </c>
    </row>
    <row r="17" ht="15.75" customHeight="1" s="452" thickBot="1">
      <c r="A17" s="468" t="n"/>
      <c r="B17" s="321" t="inlineStr">
        <is>
          <t>FO</t>
        </is>
      </c>
      <c r="C17" s="328">
        <f>'AHP ve BSS'!Y96</f>
        <v/>
      </c>
      <c r="D17" s="328">
        <f>'AHP ve BSS'!AE96</f>
        <v/>
      </c>
      <c r="E17" s="328">
        <f>'AHP ve BSS'!AK96</f>
        <v/>
      </c>
      <c r="F17" s="328">
        <f>'AHP ve BSS'!AR96</f>
        <v/>
      </c>
      <c r="G17" s="328">
        <f>'AHP ve BSS'!AZ96</f>
        <v/>
      </c>
      <c r="H17" s="328">
        <f>'AHP ve BSS'!BF96</f>
        <v/>
      </c>
      <c r="I17" s="333">
        <f>'AHP ve BSS'!BL96</f>
        <v/>
      </c>
      <c r="J17" s="328">
        <f>'AHP ve BSS'!BR96</f>
        <v/>
      </c>
      <c r="K17" s="322">
        <f>'AHP ve BSS'!BX96</f>
        <v/>
      </c>
      <c r="L17" s="328">
        <f>'AHP ve BSS'!CD96</f>
        <v/>
      </c>
    </row>
    <row r="18">
      <c r="B18" t="inlineStr">
        <is>
          <t>1.Sırada</t>
        </is>
      </c>
      <c r="C18" t="inlineStr">
        <is>
          <t>CYP</t>
        </is>
      </c>
      <c r="D18" t="inlineStr">
        <is>
          <t>CYP</t>
        </is>
      </c>
      <c r="E18" t="inlineStr">
        <is>
          <t>CYP</t>
        </is>
      </c>
      <c r="F18" t="inlineStr">
        <is>
          <t>CYP</t>
        </is>
      </c>
      <c r="G18" t="inlineStr">
        <is>
          <t>CYP</t>
        </is>
      </c>
      <c r="H18" t="inlineStr">
        <is>
          <t>CYP</t>
        </is>
      </c>
      <c r="I18" t="inlineStr">
        <is>
          <t>CYP</t>
        </is>
      </c>
      <c r="J18" t="inlineStr">
        <is>
          <t>CYP</t>
        </is>
      </c>
      <c r="K18" t="inlineStr">
        <is>
          <t>CYP</t>
        </is>
      </c>
      <c r="L18" t="inlineStr">
        <is>
          <t>CYP</t>
        </is>
      </c>
    </row>
    <row r="19">
      <c r="B19" t="inlineStr">
        <is>
          <t>2.Sırada</t>
        </is>
      </c>
      <c r="C19" t="inlineStr">
        <is>
          <t>KRC</t>
        </is>
      </c>
      <c r="D19" t="inlineStr">
        <is>
          <t>KRC</t>
        </is>
      </c>
      <c r="E19" t="inlineStr">
        <is>
          <t>KRC</t>
        </is>
      </c>
      <c r="F19" t="inlineStr">
        <is>
          <t>GZL</t>
        </is>
      </c>
      <c r="G19" t="inlineStr">
        <is>
          <t>GZL</t>
        </is>
      </c>
      <c r="H19" t="inlineStr">
        <is>
          <t>KRC</t>
        </is>
      </c>
      <c r="I19" t="inlineStr">
        <is>
          <t>KRC</t>
        </is>
      </c>
      <c r="J19" t="inlineStr">
        <is>
          <t>KRC</t>
        </is>
      </c>
      <c r="L19" t="inlineStr">
        <is>
          <t>KRC</t>
        </is>
      </c>
    </row>
    <row r="20">
      <c r="B20" t="inlineStr">
        <is>
          <t>3.Sırada</t>
        </is>
      </c>
      <c r="C20" t="inlineStr">
        <is>
          <t>GZL</t>
        </is>
      </c>
      <c r="D20" t="inlineStr">
        <is>
          <t>GZL</t>
        </is>
      </c>
      <c r="E20" t="inlineStr">
        <is>
          <t>GZL</t>
        </is>
      </c>
      <c r="F20" t="inlineStr">
        <is>
          <t>KRC</t>
        </is>
      </c>
      <c r="G20" t="inlineStr">
        <is>
          <t>KRC</t>
        </is>
      </c>
      <c r="H20" t="inlineStr">
        <is>
          <t>GZL</t>
        </is>
      </c>
      <c r="I20" t="inlineStr">
        <is>
          <t>GZL</t>
        </is>
      </c>
      <c r="J20" t="inlineStr">
        <is>
          <t>GZL</t>
        </is>
      </c>
      <c r="L20" t="inlineStr">
        <is>
          <t>GZL</t>
        </is>
      </c>
    </row>
  </sheetData>
  <mergeCells count="3">
    <mergeCell ref="A3:A7"/>
    <mergeCell ref="A8:A12"/>
    <mergeCell ref="A13:A17"/>
  </mergeCells>
  <pageMargins left="0.7" right="0.7" top="0.75" bottom="0.75" header="0.3" footer="0.3"/>
  <pageSetup orientation="portrait" paperSize="9"/>
</worksheet>
</file>

<file path=xl/worksheets/sheet24.xml><?xml version="1.0" encoding="utf-8"?>
<worksheet xmlns="http://schemas.openxmlformats.org/spreadsheetml/2006/main">
  <sheetPr>
    <outlinePr summaryBelow="1" summaryRight="1"/>
    <pageSetUpPr/>
  </sheetPr>
  <dimension ref="A1:J98"/>
  <sheetViews>
    <sheetView workbookViewId="0">
      <selection activeCell="G91" sqref="G91"/>
    </sheetView>
  </sheetViews>
  <sheetFormatPr baseColWidth="8" defaultRowHeight="15"/>
  <cols>
    <col width="21.7109375" bestFit="1" customWidth="1" style="452" min="1" max="1"/>
    <col width="20.28515625" customWidth="1" style="452" min="2" max="2"/>
    <col width="17.85546875" customWidth="1" style="452" min="3" max="3"/>
    <col width="15.85546875" customWidth="1" style="452" min="4" max="4"/>
    <col width="12.5703125" bestFit="1" customWidth="1" style="452" min="5" max="5"/>
  </cols>
  <sheetData>
    <row r="1" customFormat="1" s="266">
      <c r="A1" s="266" t="inlineStr">
        <is>
          <t>1. Senaryolara göre işletme sıralaması</t>
        </is>
      </c>
    </row>
    <row r="2" customFormat="1" s="266">
      <c r="A2" s="293" t="inlineStr">
        <is>
          <t>Senaryo</t>
        </is>
      </c>
      <c r="B2" s="293" t="inlineStr">
        <is>
          <t>Ağırlık yaklaşımı</t>
        </is>
      </c>
      <c r="C2" s="293" t="inlineStr">
        <is>
          <t>1. sıra</t>
        </is>
      </c>
      <c r="D2" s="293" t="inlineStr">
        <is>
          <t>2. sıra</t>
        </is>
      </c>
      <c r="E2" s="293" t="inlineStr">
        <is>
          <t>3. sıra</t>
        </is>
      </c>
    </row>
    <row r="3">
      <c r="A3" s="292" t="inlineStr">
        <is>
          <t>S1 Yeni AHP</t>
        </is>
      </c>
      <c r="B3" s="292" t="inlineStr">
        <is>
          <t>56:24:13:7</t>
        </is>
      </c>
      <c r="C3" s="292" t="inlineStr">
        <is>
          <t>Ceylanpınar</t>
        </is>
      </c>
      <c r="D3" s="292" t="inlineStr">
        <is>
          <t>Karacabey</t>
        </is>
      </c>
      <c r="E3" s="292" t="inlineStr">
        <is>
          <t>Gözlü</t>
        </is>
      </c>
    </row>
    <row r="4">
      <c r="A4" s="292" t="inlineStr">
        <is>
          <t>S2 Makale</t>
        </is>
      </c>
      <c r="B4" s="292" t="inlineStr">
        <is>
          <t>65:19:10:6</t>
        </is>
      </c>
      <c r="C4" s="292" t="inlineStr">
        <is>
          <t>Ceylanpınar</t>
        </is>
      </c>
      <c r="D4" s="292" t="inlineStr">
        <is>
          <t>Karacabey</t>
        </is>
      </c>
      <c r="E4" s="292" t="inlineStr">
        <is>
          <t>Gözlü</t>
        </is>
      </c>
    </row>
    <row r="5">
      <c r="A5" s="292" t="inlineStr">
        <is>
          <t>S3 Eşit blok</t>
        </is>
      </c>
      <c r="B5" s="292" t="inlineStr">
        <is>
          <t>25:25:25:25; alt grup ve gösterge AHP</t>
        </is>
      </c>
      <c r="C5" s="292" t="inlineStr">
        <is>
          <t>Ceylanpınar</t>
        </is>
      </c>
      <c r="D5" s="292" t="inlineStr">
        <is>
          <t>Karacabey</t>
        </is>
      </c>
      <c r="E5" s="292" t="inlineStr">
        <is>
          <t>Gözlü</t>
        </is>
      </c>
    </row>
    <row r="6">
      <c r="A6" s="292" t="inlineStr">
        <is>
          <t>S4 Eşit blok + eşit alt grup</t>
        </is>
      </c>
      <c r="B6" s="292" t="inlineStr">
        <is>
          <t>25:25:25:25; göstergeler AHP</t>
        </is>
      </c>
      <c r="C6" s="292" t="inlineStr">
        <is>
          <t>Ceylanpınar</t>
        </is>
      </c>
      <c r="D6" s="292" t="inlineStr">
        <is>
          <t>Gözlü</t>
        </is>
      </c>
      <c r="E6" s="292" t="inlineStr">
        <is>
          <t>Karacabey</t>
        </is>
      </c>
    </row>
    <row r="7">
      <c r="A7" s="292" t="inlineStr">
        <is>
          <t>S5 Tüm düzeylerde eşitlik</t>
        </is>
      </c>
      <c r="B7" s="292" t="inlineStr">
        <is>
          <t>25:25:25:25; alt grup ve göstergeler eşit</t>
        </is>
      </c>
      <c r="C7" s="292" t="inlineStr">
        <is>
          <t>Ceylanpınar</t>
        </is>
      </c>
      <c r="D7" s="292" t="inlineStr">
        <is>
          <t>Gözlü</t>
        </is>
      </c>
      <c r="E7" s="292" t="inlineStr">
        <is>
          <t>Karacabey</t>
        </is>
      </c>
    </row>
    <row r="8">
      <c r="A8" s="292" t="inlineStr">
        <is>
          <t>S6 Çevre öncelikli</t>
        </is>
      </c>
      <c r="B8" s="292" t="inlineStr">
        <is>
          <t>40:20:20:20</t>
        </is>
      </c>
      <c r="C8" s="292" t="inlineStr">
        <is>
          <t>Ceylanpınar</t>
        </is>
      </c>
      <c r="D8" s="292" t="inlineStr">
        <is>
          <t>Karacabey</t>
        </is>
      </c>
      <c r="E8" s="292" t="inlineStr">
        <is>
          <t>Gözlü</t>
        </is>
      </c>
    </row>
    <row r="9">
      <c r="A9" s="292" t="inlineStr">
        <is>
          <t>S7 Sosyal öncelikli</t>
        </is>
      </c>
      <c r="B9" s="292" t="inlineStr">
        <is>
          <t>20:40:20:20</t>
        </is>
      </c>
      <c r="C9" s="292" t="inlineStr">
        <is>
          <t>Ceylanpınar</t>
        </is>
      </c>
      <c r="D9" s="292" t="inlineStr">
        <is>
          <t>Karacabey</t>
        </is>
      </c>
      <c r="E9" s="292" t="inlineStr">
        <is>
          <t>Gözlü</t>
        </is>
      </c>
    </row>
    <row r="10">
      <c r="A10" s="292" t="inlineStr">
        <is>
          <t>S8 Yönetişim öncelikli</t>
        </is>
      </c>
      <c r="B10" s="292" t="inlineStr">
        <is>
          <t>20:20:40:20</t>
        </is>
      </c>
      <c r="C10" s="292" t="inlineStr">
        <is>
          <t>Ceylanpınar</t>
        </is>
      </c>
      <c r="D10" s="292" t="inlineStr">
        <is>
          <t>Karacabey</t>
        </is>
      </c>
      <c r="E10" s="292" t="inlineStr">
        <is>
          <t>Gözlü</t>
        </is>
      </c>
    </row>
    <row r="11">
      <c r="A11" s="292" t="inlineStr">
        <is>
          <t>S9 FO öncelikli</t>
        </is>
      </c>
      <c r="B11" s="292" t="inlineStr">
        <is>
          <t>20:20:20:40</t>
        </is>
      </c>
      <c r="C11" s="292" t="inlineStr">
        <is>
          <t>Ceylanpınar</t>
        </is>
      </c>
      <c r="D11" s="292" t="inlineStr">
        <is>
          <t>Karacabey</t>
        </is>
      </c>
      <c r="E11" s="292" t="inlineStr">
        <is>
          <t>Gözlü</t>
        </is>
      </c>
    </row>
    <row r="12">
      <c r="A12" s="292" t="inlineStr">
        <is>
          <t>S10 ESG modeli</t>
        </is>
      </c>
      <c r="B12" s="292" t="inlineStr">
        <is>
          <t>34:33:33:0</t>
        </is>
      </c>
      <c r="C12" s="292" t="inlineStr">
        <is>
          <t>Ceylanpınar</t>
        </is>
      </c>
      <c r="D12" s="292" t="inlineStr">
        <is>
          <t>Karacabey</t>
        </is>
      </c>
      <c r="E12" s="292" t="inlineStr">
        <is>
          <t>Gözlü</t>
        </is>
      </c>
    </row>
    <row r="14">
      <c r="A14" s="427" t="inlineStr">
        <is>
          <t>Ceylanpınar bütün senaryolarda birinci sıradadır. Karacabey ve Gözlü arasındaki sıra ise S4 ve S5 senaryolarında yer değiştirmiştir. Dolayısıyla Ceylanpınar’ın birinciliği incelenen senaryolar altında kararlı görünürken, ikinci ve üçüncü sıra alt grup ve gösterge ağırlıklarının belirlenmesine daha duyarlıdır.</t>
        </is>
      </c>
    </row>
    <row r="15"/>
    <row r="16"/>
    <row r="18" customFormat="1" s="266">
      <c r="A18" s="266" t="inlineStr">
        <is>
          <t>2. İşletme bazında skor aralıkları</t>
        </is>
      </c>
    </row>
    <row r="20" customFormat="1" s="266">
      <c r="A20" s="294" t="inlineStr">
        <is>
          <t>İşletme</t>
        </is>
      </c>
      <c r="B20" s="294" t="inlineStr">
        <is>
          <t>En düşük skor</t>
        </is>
      </c>
      <c r="C20" s="294" t="inlineStr">
        <is>
          <t>En yüksek skor</t>
        </is>
      </c>
      <c r="D20" s="294" t="inlineStr">
        <is>
          <t>Aralık</t>
        </is>
      </c>
      <c r="E20" s="294" t="inlineStr">
        <is>
          <t>Ortalama skor</t>
        </is>
      </c>
    </row>
    <row r="21">
      <c r="A21" s="295" t="inlineStr">
        <is>
          <t>Ceylanpınar</t>
        </is>
      </c>
      <c r="B21" s="295" t="n">
        <v>63.8306</v>
      </c>
      <c r="C21" s="295" t="n">
        <v>74.77849999999999</v>
      </c>
      <c r="D21" s="295" t="n">
        <v>10.9479</v>
      </c>
      <c r="E21" s="295" t="n">
        <v>68.5415</v>
      </c>
    </row>
    <row r="22">
      <c r="A22" s="295" t="inlineStr">
        <is>
          <t>Karacabey</t>
        </is>
      </c>
      <c r="B22" s="295" t="n">
        <v>58.1257</v>
      </c>
      <c r="C22" s="295" t="n">
        <v>66.5046</v>
      </c>
      <c r="D22" s="295" t="n">
        <v>8.3789</v>
      </c>
      <c r="E22" s="295" t="n">
        <v>63.086</v>
      </c>
    </row>
    <row r="23">
      <c r="A23" s="295" t="inlineStr">
        <is>
          <t>Gözlü</t>
        </is>
      </c>
      <c r="B23" s="295" t="n">
        <v>53.968</v>
      </c>
      <c r="C23" s="295" t="n">
        <v>64.4808</v>
      </c>
      <c r="D23" s="295" t="n">
        <v>10.5128</v>
      </c>
      <c r="E23" s="295" t="n">
        <v>60.4723</v>
      </c>
    </row>
    <row r="25">
      <c r="A25" s="427" t="inlineStr">
        <is>
          <t>Ceylanpınar’ın skorları 63,83–74,78; Karacabey’in 58,13–66,50; Gözlü’nün ise 53,97–64,48 aralığında değişmektedir. Mutlak skor bakımından en geniş aralık Ceylanpınar’da, ikinci en geniş aralık Gözlü’dedir. Bu durum, skorların ağırlık tercihinden etkilendiğini; fakat bu etkinin üç işletmede aynı yönde ve aynı büyüklükte gerçekleşmediğini göstermektedir.</t>
        </is>
      </c>
    </row>
    <row r="26"/>
    <row r="27"/>
    <row r="28"/>
    <row r="30" customFormat="1" s="266">
      <c r="A30" s="266" t="inlineStr">
        <is>
          <t>3. Temel AHP senaryosuna göre değişim</t>
        </is>
      </c>
    </row>
    <row r="31">
      <c r="A31" t="inlineStr">
        <is>
          <t>S1 Yeni AHP senaryosu referans alındığında, diğer senaryolardaki değişimler şöyledir:</t>
        </is>
      </c>
    </row>
    <row r="32" customFormat="1" s="266">
      <c r="A32" s="293" t="inlineStr">
        <is>
          <t>Senaryo</t>
        </is>
      </c>
      <c r="B32" s="293" t="inlineStr">
        <is>
          <t>Ceylanpınar değişimi</t>
        </is>
      </c>
      <c r="C32" s="293" t="inlineStr">
        <is>
          <t>Karacabey değişimi</t>
        </is>
      </c>
      <c r="D32" s="293" t="inlineStr">
        <is>
          <t>Gözlü değişimi</t>
        </is>
      </c>
    </row>
    <row r="33">
      <c r="A33" s="292" t="inlineStr">
        <is>
          <t>S2 Makale</t>
        </is>
      </c>
      <c r="B33" s="292" t="inlineStr">
        <is>
          <t>−7,5821</t>
        </is>
      </c>
      <c r="C33" s="292" t="inlineStr">
        <is>
          <t>−8,3789</t>
        </is>
      </c>
      <c r="D33" s="292" t="inlineStr">
        <is>
          <t>−4,1791</t>
        </is>
      </c>
    </row>
    <row r="34">
      <c r="A34" s="292" t="inlineStr">
        <is>
          <t>S3 Eşit blok</t>
        </is>
      </c>
      <c r="B34" s="292" t="inlineStr">
        <is>
          <t>−5,6683</t>
        </is>
      </c>
      <c r="C34" s="292" t="inlineStr">
        <is>
          <t>−2,0124</t>
        </is>
      </c>
      <c r="D34" s="292" t="n">
        <v>4.4277</v>
      </c>
    </row>
    <row r="35">
      <c r="A35" s="292" t="inlineStr">
        <is>
          <t>S4 Eşit blok + eşit alt grup</t>
        </is>
      </c>
      <c r="B35" s="292" t="inlineStr">
        <is>
          <t>−10,8926</t>
        </is>
      </c>
      <c r="C35" s="292" t="inlineStr">
        <is>
          <t>−7,5647</t>
        </is>
      </c>
      <c r="D35" s="292" t="n">
        <v>1.4052</v>
      </c>
    </row>
    <row r="36">
      <c r="A36" s="292" t="inlineStr">
        <is>
          <t>S5 Tüm düzeylerde eşitlik</t>
        </is>
      </c>
      <c r="B36" s="292" t="inlineStr">
        <is>
          <t>−10,9479</t>
        </is>
      </c>
      <c r="C36" s="292" t="inlineStr">
        <is>
          <t>−5,7570</t>
        </is>
      </c>
      <c r="D36" s="292" t="n">
        <v>2.7119</v>
      </c>
    </row>
    <row r="37">
      <c r="A37" s="292" t="inlineStr">
        <is>
          <t>S6 Çevre öncelikli</t>
        </is>
      </c>
      <c r="B37" s="292" t="inlineStr">
        <is>
          <t>−3,3591</t>
        </is>
      </c>
      <c r="C37" s="292" t="inlineStr">
        <is>
          <t>−1,3021</t>
        </is>
      </c>
      <c r="D37" s="292" t="n">
        <v>2.28</v>
      </c>
    </row>
    <row r="38">
      <c r="A38" s="292" t="inlineStr">
        <is>
          <t>S7 Sosyal öncelikli</t>
        </is>
      </c>
      <c r="B38" s="292" t="inlineStr">
        <is>
          <t>−6,0195</t>
        </is>
      </c>
      <c r="C38" s="292" t="inlineStr">
        <is>
          <t>−2,2812</t>
        </is>
      </c>
      <c r="D38" s="292" t="n">
        <v>4.8912</v>
      </c>
    </row>
    <row r="39">
      <c r="A39" s="292" t="inlineStr">
        <is>
          <t>S8 Yönetişim öncelikli</t>
        </is>
      </c>
      <c r="B39" s="292" t="inlineStr">
        <is>
          <t>−7,0523</t>
        </is>
      </c>
      <c r="C39" s="292" t="inlineStr">
        <is>
          <t>−2,7242</t>
        </is>
      </c>
      <c r="D39" s="292" t="n">
        <v>4.2061</v>
      </c>
    </row>
    <row r="40">
      <c r="A40" s="292" t="inlineStr">
        <is>
          <t>S9 FO öncelikli</t>
        </is>
      </c>
      <c r="B40" s="292" t="inlineStr">
        <is>
          <t>−6,2421</t>
        </is>
      </c>
      <c r="C40" s="292" t="inlineStr">
        <is>
          <t>−1,7421</t>
        </is>
      </c>
      <c r="D40" s="292" t="n">
        <v>6.3337</v>
      </c>
    </row>
    <row r="41">
      <c r="A41" s="292" t="inlineStr">
        <is>
          <t>S10 ESG</t>
        </is>
      </c>
      <c r="B41" s="292" t="inlineStr">
        <is>
          <t>−4,6060</t>
        </is>
      </c>
      <c r="C41" s="292" t="inlineStr">
        <is>
          <t>−2,4229</t>
        </is>
      </c>
      <c r="D41" s="292" t="n">
        <v>1.1755</v>
      </c>
    </row>
    <row r="43">
      <c r="A43" s="427" t="inlineStr">
        <is>
          <t>Gözlü’nün FO öncelikli senaryoda 64,4808’e yükselmesi, bu işletmenin FO skorunun yüksek olmasıyla uyumludur. Buna karşılık Ceylanpınar’ın temel AHP senaryosundaki yüksek skoru, yalnızca FO performansından değil, AHP’de çevresel bloğa verilen yüksek ağırlık ve Ceylanpınar’ın çevresel skorundan da etkilenmektedir.</t>
        </is>
      </c>
    </row>
    <row r="44"/>
    <row r="45"/>
    <row r="46"/>
    <row r="49">
      <c r="A49" s="427" t="inlineStr">
        <is>
          <t>YORUM:Duyarlılık analizi kapsamında on farklı ağırlık senaryosu oluşturulmuştur. Senaryolar; yeni AHP ağırlıklarını, makalede kullanılan ağırlıkları, ana blokların eşit ağırlıklandırılmasını, alt grup ve gösterge ağırlıklarının eşitlenmesini, ayrıca çevresel, sosyal, yönetişimsel ve finansal/operasyonel blokların ayrı ayrı önceliklendirildiği alternatif yapılarını kapsamaktadır. Hesaplamalar sonucunda Ceylanpınar tüm senaryolarda birinci sırada yer almıştır. Karacabey ikinci sırayı sekiz senaryoda korurken, alt grup ve gösterge düzeylerinin eşit ağırlıklandırıldığı iki senaryoda Gözlü ikinci sıraya yükselmiştir. Bu bulgu, birinci sıradaki işletmenin incelenen ağırlık varsayımlarına karşı kararlı olduğunu; ancak ikinci ve üçüncü sıraların özellikle alt grup ve gösterge ağırlıklarına duyarlı olduğunu göstermektedir.</t>
        </is>
      </c>
    </row>
    <row r="50"/>
    <row r="51"/>
    <row r="52"/>
    <row r="53"/>
    <row r="54"/>
    <row r="56" ht="15.75" customHeight="1" s="452" thickBot="1"/>
    <row r="57">
      <c r="A57" s="300" t="inlineStr">
        <is>
          <t>Senaryo</t>
        </is>
      </c>
      <c r="B57" s="296" t="inlineStr">
        <is>
          <t>Ceylanpınar</t>
        </is>
      </c>
      <c r="C57" s="296" t="inlineStr">
        <is>
          <t>Karacabey</t>
        </is>
      </c>
      <c r="D57" s="301" t="inlineStr">
        <is>
          <t>Gözlü</t>
        </is>
      </c>
    </row>
    <row r="58">
      <c r="A58" s="302" t="inlineStr">
        <is>
          <t xml:space="preserve">S1 </t>
        </is>
      </c>
      <c r="B58" s="292" t="n">
        <v>74.77849999999999</v>
      </c>
      <c r="C58" s="292" t="n">
        <v>66.5046</v>
      </c>
      <c r="D58" s="297" t="n">
        <v>58.1471</v>
      </c>
    </row>
    <row r="59">
      <c r="A59" s="302" t="inlineStr">
        <is>
          <t xml:space="preserve">S2 </t>
        </is>
      </c>
      <c r="B59" s="292" t="n">
        <v>67.1964</v>
      </c>
      <c r="C59" s="292" t="n">
        <v>58.1257</v>
      </c>
      <c r="D59" s="297" t="n">
        <v>53.968</v>
      </c>
    </row>
    <row r="60">
      <c r="A60" s="302" t="inlineStr">
        <is>
          <t xml:space="preserve">S3 </t>
        </is>
      </c>
      <c r="B60" s="292" t="n">
        <v>69.11020000000001</v>
      </c>
      <c r="C60" s="292" t="n">
        <v>64.4922</v>
      </c>
      <c r="D60" s="297" t="n">
        <v>62.5748</v>
      </c>
    </row>
    <row r="61">
      <c r="A61" s="302" t="inlineStr">
        <is>
          <t xml:space="preserve">S4 </t>
        </is>
      </c>
      <c r="B61" s="292" t="n">
        <v>63.8859</v>
      </c>
      <c r="C61" s="292" t="n">
        <v>58.9398</v>
      </c>
      <c r="D61" s="297" t="n">
        <v>59.5523</v>
      </c>
    </row>
    <row r="62">
      <c r="A62" s="302" t="inlineStr">
        <is>
          <t xml:space="preserve">S5 </t>
        </is>
      </c>
      <c r="B62" s="292" t="n">
        <v>63.8306</v>
      </c>
      <c r="C62" s="292" t="n">
        <v>60.7476</v>
      </c>
      <c r="D62" s="297" t="n">
        <v>60.859</v>
      </c>
    </row>
    <row r="63">
      <c r="A63" s="302" t="inlineStr">
        <is>
          <t xml:space="preserve">S6 </t>
        </is>
      </c>
      <c r="B63" s="292" t="n">
        <v>71.4194</v>
      </c>
      <c r="C63" s="292" t="n">
        <v>65.2025</v>
      </c>
      <c r="D63" s="297" t="n">
        <v>60.4271</v>
      </c>
    </row>
    <row r="64">
      <c r="A64" s="302" t="inlineStr">
        <is>
          <t xml:space="preserve">S7 </t>
        </is>
      </c>
      <c r="B64" s="292" t="n">
        <v>68.759</v>
      </c>
      <c r="C64" s="292" t="n">
        <v>64.2234</v>
      </c>
      <c r="D64" s="297" t="n">
        <v>63.0382</v>
      </c>
    </row>
    <row r="65">
      <c r="A65" s="302" t="inlineStr">
        <is>
          <t xml:space="preserve">S8 </t>
        </is>
      </c>
      <c r="B65" s="292" t="n">
        <v>67.72620000000001</v>
      </c>
      <c r="C65" s="292" t="n">
        <v>63.7804</v>
      </c>
      <c r="D65" s="297" t="n">
        <v>62.3531</v>
      </c>
    </row>
    <row r="66">
      <c r="A66" s="302" t="inlineStr">
        <is>
          <t xml:space="preserve">S9 </t>
        </is>
      </c>
      <c r="B66" s="292" t="n">
        <v>68.5364</v>
      </c>
      <c r="C66" s="292" t="n">
        <v>64.7625</v>
      </c>
      <c r="D66" s="297" t="n">
        <v>64.4808</v>
      </c>
    </row>
    <row r="67" ht="15.75" customHeight="1" s="452" thickBot="1">
      <c r="A67" s="303" t="inlineStr">
        <is>
          <t xml:space="preserve">S10 </t>
        </is>
      </c>
      <c r="B67" s="298" t="n">
        <v>70.1725</v>
      </c>
      <c r="C67" s="298" t="n">
        <v>64.0817</v>
      </c>
      <c r="D67" s="299" t="n">
        <v>59.3225</v>
      </c>
    </row>
    <row r="72" ht="15.75" customHeight="1" s="452" thickBot="1">
      <c r="A72" s="266" t="inlineStr">
        <is>
          <t>Dört ana blok skorları</t>
        </is>
      </c>
    </row>
    <row r="73">
      <c r="A73" s="300" t="inlineStr">
        <is>
          <t>İşletme</t>
        </is>
      </c>
      <c r="B73" s="296" t="inlineStr">
        <is>
          <t>Çevre (E)</t>
        </is>
      </c>
      <c r="C73" s="296" t="inlineStr">
        <is>
          <t>Sosyal (S)</t>
        </is>
      </c>
      <c r="D73" s="296" t="inlineStr">
        <is>
          <t>Yönetişim (G)</t>
        </is>
      </c>
      <c r="E73" s="301" t="inlineStr">
        <is>
          <t>Finansal/Operasyonel (FO)</t>
        </is>
      </c>
    </row>
    <row r="74">
      <c r="A74" s="302" t="inlineStr">
        <is>
          <t>Ceylanpınar</t>
        </is>
      </c>
      <c r="B74" s="292" t="n">
        <v>80.66</v>
      </c>
      <c r="C74" s="292" t="n">
        <v>67.34999999999999</v>
      </c>
      <c r="D74" s="292" t="n">
        <v>62.19</v>
      </c>
      <c r="E74" s="297" t="n">
        <v>66.23999999999999</v>
      </c>
    </row>
    <row r="75">
      <c r="A75" s="302" t="inlineStr">
        <is>
          <t>Karacabey</t>
        </is>
      </c>
      <c r="B75" s="292" t="n">
        <v>68.04000000000001</v>
      </c>
      <c r="C75" s="292" t="n">
        <v>63.15</v>
      </c>
      <c r="D75" s="292" t="n">
        <v>60.93</v>
      </c>
      <c r="E75" s="297" t="n">
        <v>65.84</v>
      </c>
    </row>
    <row r="76" ht="15.75" customHeight="1" s="452" thickBot="1">
      <c r="A76" s="303" t="inlineStr">
        <is>
          <t>Gözlü</t>
        </is>
      </c>
      <c r="B76" s="298" t="n">
        <v>51.84</v>
      </c>
      <c r="C76" s="298" t="n">
        <v>64.89</v>
      </c>
      <c r="D76" s="298" t="n">
        <v>61.47</v>
      </c>
      <c r="E76" s="299" t="n">
        <v>72.09999999999999</v>
      </c>
    </row>
    <row r="78">
      <c r="A78" s="427" t="inlineStr">
        <is>
          <t>Ceylanpınar, dört ana bloğun üçünde en yüksek skora sahiptir. Özellikle Çevre skorunun 80,66 olması, çevresel göstergelerin ağırlıklı olarak yüksek değerlendirildiğini göstermektedir. Bu sonuç, Ceylanpınar’ın bütünleşik skorda üst sırada yer almasını açıklayan temel unsurlardan biridir. Bununla birlikte, bu skor işletmenin tüm çevresel etkilerinin düşük olduğu anlamına gelmez; performans puanı ile kanıt güvenilirliği birbirinden ayrı yorumlanmalıdır.
Gözlü, Finansal/Operasyonel blokta 72,10 puanla üç işletme arasında en yüksek değere sahiptir. Bu sonuç; birim hayvan başına üretim, sürü sağlığı, döl verimi, besleme ve girdi yönetimi gibi göstergelerdeki olumlu değerlendirmelerle ilişkilidir. Gözlü’nün çevre skoru 51,84 ile diğer işletmelerin gerisinde kalırken FO skorunda birinci olması, işletmenin bloklar arasında dengeli olmayan ancak açıklanabilir bir performans profiline sahip olduğunu göstermektedir.
Karacabey’in dört blok skorları birbirine daha yakın bir yapıdadır. Çevre skoru 68,04, sosyal skoru 63,15, yönetişim skoru 60,93 ve FO skoru 65,84’tür. Bu durum, işletmenin herhangi bir blokta açık ara üstünlük sağlamadığını; ancak tüm bloklarda orta-yüksek aralıkta skor ürettiğini göstermektedir.</t>
        </is>
      </c>
    </row>
    <row r="79"/>
    <row r="80"/>
    <row r="81"/>
    <row r="82"/>
    <row r="83"/>
    <row r="84"/>
    <row r="85"/>
    <row r="86"/>
    <row r="87"/>
    <row r="88"/>
    <row r="89"/>
    <row r="90"/>
    <row r="92">
      <c r="A92" s="427" t="inlineStr">
        <is>
          <t>S1 – Yeni AHP senaryosuna göre işletmelerin dört ana blok skorları incelendiğinde, Ceylanpınar’ın Çevre, Sosyal ve Yönetişim bloklarında en yüksek puana sahip olduğu görülmektedir. Gözlü, 72,10 puanla Finansal/Operasyonel blokta birinci sırada yer alırken, Sosyal ve Yönetişim bloklarında da ikinci sıradadır. Karacabey’in skorları dört blokta birbirine yakın seyretmiş; işletme özellikle Çevre bloğunda 68,04 puanla ikinci sırada yer almıştır. Bulgular, işletmelerin bütünleşik sürdürülebilirlik skorlarının tek bir performans boyutuyla açıklanamayacağını; her işletmenin farklı bloklarda güçlü ve geliştirilmesi gereken alanlara sahip olduğunu göstermektedir.</t>
        </is>
      </c>
    </row>
    <row r="93"/>
    <row r="94"/>
    <row r="95"/>
    <row r="96"/>
    <row r="97"/>
    <row r="98"/>
  </sheetData>
  <mergeCells count="6">
    <mergeCell ref="A92:E98"/>
    <mergeCell ref="A78:E90"/>
    <mergeCell ref="A43:D46"/>
    <mergeCell ref="A14:E16"/>
    <mergeCell ref="A25:E28"/>
    <mergeCell ref="A49:J5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SecretUser</dc:creator>
  <dcterms:created xsi:type="dcterms:W3CDTF">2013-01-20T09:21:09Z</dcterms:created>
  <dcterms:modified xsi:type="dcterms:W3CDTF">2026-09-08T17:20:57Z</dcterms:modified>
  <cp:lastModifiedBy>Ayşegül Demir Yıldırım</cp:lastModifiedBy>
</cp:coreProperties>
</file>